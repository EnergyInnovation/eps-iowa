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A\add-outputs\NoH\"/>
    </mc:Choice>
  </mc:AlternateContent>
  <xr:revisionPtr revIDLastSave="0" documentId="8_{9A250D57-0151-4F50-B379-674DFB5000AE}"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E2" i="3"/>
  <c r="S2" i="3"/>
  <c r="D2" i="3"/>
  <c r="Z2" i="3"/>
  <c r="E2" i="3"/>
  <c r="AA2" i="3"/>
  <c r="P2" i="3"/>
  <c r="R2" i="3"/>
  <c r="T2" i="3"/>
  <c r="X2" i="3"/>
  <c r="F2" i="3"/>
  <c r="AB2" i="3"/>
  <c r="N2" i="3"/>
  <c r="G2" i="3"/>
  <c r="AC2" i="3"/>
  <c r="U2" i="3"/>
  <c r="H2" i="3"/>
  <c r="AD2" i="3"/>
  <c r="I2" i="3"/>
  <c r="J2" i="3"/>
  <c r="B2" i="3"/>
  <c r="K2" i="3"/>
  <c r="Q2" i="3"/>
  <c r="V2" i="3"/>
  <c r="L2" i="3"/>
  <c r="M2" i="3"/>
  <c r="O2" i="3"/>
  <c r="W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<sst xmlns="http://schemas.openxmlformats.org/spreadsheetml/2006/main" count="1069" uniqueCount="448">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</sst>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354</v>
      </c>
      <c r="C1" s="68">
        <v>46185</v>
      </c>
      <c r="H1" t="s">
        <v>324</v>
      </c>
      <c r="I1" t="s">
        <v>325</v>
      </c>
    </row>
    <row r="2" spans="1:9" x14ac:dyDescent="0.25">
      <c r="B2" t="str">
        <f>VLOOKUP(B1,H2:I52,2)</f>
        <v>IA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1248624.7475453434</v>
      </c>
      <c r="C2">
        <f>SUMIFS('state calcs'!C62:C112,'state calcs'!$A$62:$A$112,About!$B$2)</f>
        <v>1265674.640156918</v>
      </c>
      <c r="D2">
        <f>SUMIFS('state calcs'!D62:D112,'state calcs'!$A$62:$A$112,About!$B$2)</f>
        <v>1275207.5800361237</v>
      </c>
      <c r="E2">
        <f>SUMIFS('state calcs'!E62:E112,'state calcs'!$A$62:$A$112,About!$B$2)</f>
        <v>1284742.0796186193</v>
      </c>
      <c r="F2">
        <f>SUMIFS('state calcs'!F62:F112,'state calcs'!$A$62:$A$112,About!$B$2)</f>
        <v>1294524.9951423027</v>
      </c>
      <c r="G2">
        <f>SUMIFS('state calcs'!G62:G112,'state calcs'!$A$62:$A$112,About!$B$2)</f>
        <v>1304254.1986119198</v>
      </c>
      <c r="H2">
        <f>SUMIFS('state calcs'!H62:H112,'state calcs'!$A$62:$A$112,About!$B$2)</f>
        <v>1314023.2433298361</v>
      </c>
      <c r="I2">
        <f>SUMIFS('state calcs'!I62:I112,'state calcs'!$A$62:$A$112,About!$B$2)</f>
        <v>1323856.2838122849</v>
      </c>
      <c r="J2">
        <f>SUMIFS('state calcs'!J62:J112,'state calcs'!$A$62:$A$112,About!$B$2)</f>
        <v>1333577.0590421141</v>
      </c>
      <c r="K2">
        <f>SUMIFS('state calcs'!K62:K112,'state calcs'!$A$62:$A$112,About!$B$2)</f>
        <v>1342972.7978018075</v>
      </c>
      <c r="L2">
        <f>SUMIFS('state calcs'!L62:L112,'state calcs'!$A$62:$A$112,About!$B$2)</f>
        <v>1350703.4745864836</v>
      </c>
      <c r="M2">
        <f>SUMIFS('state calcs'!M62:M112,'state calcs'!$A$62:$A$112,About!$B$2)</f>
        <v>1358311.8189550149</v>
      </c>
      <c r="N2">
        <f>SUMIFS('state calcs'!N62:N112,'state calcs'!$A$62:$A$112,About!$B$2)</f>
        <v>1365637.1816311812</v>
      </c>
      <c r="O2">
        <f>SUMIFS('state calcs'!O62:O112,'state calcs'!$A$62:$A$112,About!$B$2)</f>
        <v>1372582.3121726168</v>
      </c>
      <c r="P2">
        <f>SUMIFS('state calcs'!P62:P112,'state calcs'!$A$62:$A$112,About!$B$2)</f>
        <v>1379347.9866551571</v>
      </c>
      <c r="Q2">
        <f>SUMIFS('state calcs'!Q62:Q112,'state calcs'!$A$62:$A$112,About!$B$2)</f>
        <v>1386095.6110942992</v>
      </c>
      <c r="R2">
        <f>SUMIFS('state calcs'!R62:R112,'state calcs'!$A$62:$A$112,About!$B$2)</f>
        <v>1392743.3400718183</v>
      </c>
      <c r="S2">
        <f>SUMIFS('state calcs'!S62:S112,'state calcs'!$A$62:$A$112,About!$B$2)</f>
        <v>1399315.1758582518</v>
      </c>
      <c r="T2">
        <f>SUMIFS('state calcs'!T62:T112,'state calcs'!$A$62:$A$112,About!$B$2)</f>
        <v>1405779.9535210223</v>
      </c>
      <c r="U2">
        <f>SUMIFS('state calcs'!U62:U112,'state calcs'!$A$62:$A$112,About!$B$2)</f>
        <v>1412329.6284718779</v>
      </c>
      <c r="V2">
        <f>SUMIFS('state calcs'!V62:V112,'state calcs'!$A$62:$A$112,About!$B$2)</f>
        <v>1418412.5564647103</v>
      </c>
      <c r="W2">
        <f>SUMIFS('state calcs'!W62:W112,'state calcs'!$A$62:$A$112,About!$B$2)</f>
        <v>1424299.6079094887</v>
      </c>
      <c r="X2">
        <f>SUMIFS('state calcs'!X62:X112,'state calcs'!$A$62:$A$112,About!$B$2)</f>
        <v>1430069.0818357447</v>
      </c>
      <c r="Y2">
        <f>SUMIFS('state calcs'!Y62:Y112,'state calcs'!$A$62:$A$112,About!$B$2)</f>
        <v>1435729.3387371332</v>
      </c>
      <c r="Z2">
        <f>SUMIFS('state calcs'!Z62:Z112,'state calcs'!$A$62:$A$112,About!$B$2)</f>
        <v>1441291.5690172755</v>
      </c>
      <c r="AA2">
        <f>SUMIFS('state calcs'!AA62:AA112,'state calcs'!$A$62:$A$112,About!$B$2)</f>
        <v>1446720.5162353744</v>
      </c>
      <c r="AB2">
        <f>SUMIFS('state calcs'!AB62:AB112,'state calcs'!$A$62:$A$112,About!$B$2)</f>
        <v>1452078.215904284</v>
      </c>
      <c r="AC2">
        <f>SUMIFS('state calcs'!AC62:AC112,'state calcs'!$A$62:$A$112,About!$B$2)</f>
        <v>1457297.4118328539</v>
      </c>
      <c r="AD2">
        <f>SUMIFS('state calcs'!AD62:AD112,'state calcs'!$A$62:$A$112,About!$B$2)</f>
        <v>1462369.3048194875</v>
      </c>
      <c r="AE2">
        <f>SUMIFS('state calcs'!AE62:AE112,'state calcs'!$A$62:$A$112,About!$B$2)</f>
        <v>1467323.8638429807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2026-06-12T19:28:22Z</dcterms:modified>
</cp:coreProperties>
</file>