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C32AB1B6-C978-4E7E-B5B9-B0B243671C8A}"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E45" i="9" s="1"/>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N43" i="9" s="1"/>
  <c r="M23" i="9"/>
  <c r="L23" i="9"/>
  <c r="K23" i="9"/>
  <c r="J23" i="9"/>
  <c r="I23" i="9"/>
  <c r="H23" i="9"/>
  <c r="G23" i="9"/>
  <c r="F23" i="9"/>
  <c r="E23" i="9"/>
  <c r="D23" i="9"/>
  <c r="C23" i="9"/>
  <c r="B23" i="9"/>
  <c r="AB22" i="9"/>
  <c r="AA22" i="9"/>
  <c r="Z22" i="9"/>
  <c r="Y22" i="9"/>
  <c r="X22" i="9"/>
  <c r="W22" i="9"/>
  <c r="V22" i="9"/>
  <c r="U22" i="9"/>
  <c r="U42" i="9" s="1"/>
  <c r="T22" i="9"/>
  <c r="T42" i="9" s="1"/>
  <c r="S22" i="9"/>
  <c r="S42" i="9" s="1"/>
  <c r="R22" i="9"/>
  <c r="Q22" i="9"/>
  <c r="P22" i="9"/>
  <c r="O22" i="9"/>
  <c r="N22" i="9"/>
  <c r="M22" i="9"/>
  <c r="L22" i="9"/>
  <c r="K22" i="9"/>
  <c r="J22" i="9"/>
  <c r="I22" i="9"/>
  <c r="H22" i="9"/>
  <c r="G22" i="9"/>
  <c r="F22" i="9"/>
  <c r="E22" i="9"/>
  <c r="D22" i="9"/>
  <c r="C22" i="9"/>
  <c r="B22" i="9"/>
  <c r="AB21" i="9"/>
  <c r="AA21" i="9"/>
  <c r="Z21" i="9"/>
  <c r="Z41" i="9" s="1"/>
  <c r="Y21" i="9"/>
  <c r="Y41" i="9" s="1"/>
  <c r="X21" i="9"/>
  <c r="X41" i="9" s="1"/>
  <c r="W21" i="9"/>
  <c r="V21" i="9"/>
  <c r="U21" i="9"/>
  <c r="T21" i="9"/>
  <c r="S21" i="9"/>
  <c r="R21" i="9"/>
  <c r="Q21" i="9"/>
  <c r="P21" i="9"/>
  <c r="O21" i="9"/>
  <c r="N21" i="9"/>
  <c r="M21" i="9"/>
  <c r="L21" i="9"/>
  <c r="K21" i="9"/>
  <c r="J21" i="9"/>
  <c r="I21" i="9"/>
  <c r="H21" i="9"/>
  <c r="G21" i="9"/>
  <c r="F21" i="9"/>
  <c r="E21" i="9"/>
  <c r="D21" i="9"/>
  <c r="D41" i="9" s="1"/>
  <c r="C21" i="9"/>
  <c r="C41" i="9" s="1"/>
  <c r="B21" i="9"/>
  <c r="B41" i="9" s="1"/>
  <c r="AB20" i="9"/>
  <c r="AA20" i="9"/>
  <c r="Z20" i="9"/>
  <c r="Y20" i="9"/>
  <c r="X20" i="9"/>
  <c r="W20" i="9"/>
  <c r="V20" i="9"/>
  <c r="U20" i="9"/>
  <c r="T20" i="9"/>
  <c r="S20" i="9"/>
  <c r="R20" i="9"/>
  <c r="Q20" i="9"/>
  <c r="P20" i="9"/>
  <c r="O20" i="9"/>
  <c r="N20" i="9"/>
  <c r="M20" i="9"/>
  <c r="L20" i="9"/>
  <c r="K20" i="9"/>
  <c r="J20" i="9"/>
  <c r="I20" i="9"/>
  <c r="I40" i="9" s="1"/>
  <c r="H20" i="9"/>
  <c r="H40" i="9" s="1"/>
  <c r="G20" i="9"/>
  <c r="G40" i="9" s="1"/>
  <c r="F20" i="9"/>
  <c r="E20" i="9"/>
  <c r="D20" i="9"/>
  <c r="C20" i="9"/>
  <c r="B20" i="9"/>
  <c r="AB19" i="9"/>
  <c r="AA19" i="9"/>
  <c r="Z19" i="9"/>
  <c r="Y19" i="9"/>
  <c r="X19" i="9"/>
  <c r="W19" i="9"/>
  <c r="V19" i="9"/>
  <c r="U19" i="9"/>
  <c r="T19" i="9"/>
  <c r="S19" i="9"/>
  <c r="R19" i="9"/>
  <c r="Q19" i="9"/>
  <c r="P19" i="9"/>
  <c r="O19" i="9"/>
  <c r="N19" i="9"/>
  <c r="N39" i="9" s="1"/>
  <c r="M19" i="9"/>
  <c r="M39" i="9" s="1"/>
  <c r="L19" i="9"/>
  <c r="L39" i="9" s="1"/>
  <c r="K19" i="9"/>
  <c r="J19" i="9"/>
  <c r="I19" i="9"/>
  <c r="H19" i="9"/>
  <c r="G19" i="9"/>
  <c r="F19" i="9"/>
  <c r="E19" i="9"/>
  <c r="D19" i="9"/>
  <c r="C19" i="9"/>
  <c r="B19" i="9"/>
  <c r="AB18" i="9"/>
  <c r="AA18" i="9"/>
  <c r="Z18" i="9"/>
  <c r="Y18" i="9"/>
  <c r="X18" i="9"/>
  <c r="W18" i="9"/>
  <c r="V18" i="9"/>
  <c r="U18" i="9"/>
  <c r="T18" i="9"/>
  <c r="S18" i="9"/>
  <c r="S38" i="9" s="1"/>
  <c r="R18" i="9"/>
  <c r="R38" i="9" s="1"/>
  <c r="Q18" i="9"/>
  <c r="Q38" i="9" s="1"/>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C45" i="9" l="1"/>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D4" i="1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V2" i="11"/>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<sst xmlns="http://schemas.openxmlformats.org/spreadsheetml/2006/main" count="5677" uniqueCount="335">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</sst>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82</v>
      </c>
    </row>
    <row r="2" spans="1:2" x14ac:dyDescent="0.25">
      <c r="A2" s="3" t="s">
        <v>2</v>
      </c>
      <c r="B2" s="4" t="str">
        <f>IFERROR(INDEX(Geography!B:B, MATCH($B$1, Geography!C:C, 0)), "")</f>
        <v>IA</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1627465</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3241488</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1.0127389723598164</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1614023</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3241488</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0.98747536493301491</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2884435</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3241488</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1.1841410547392583</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153983</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3241488</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0.34772923051714477</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94956</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3241488</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0.45367298744917178</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108114</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3241488</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0.70446062582886959</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255125</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3241488</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0.40333230502304374</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2986363</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3241488</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1.1446630441032914</v>
      </c>
    </row>
    <row r="12" spans="1:28" x14ac:dyDescent="0.25">
      <c r="A12" s="4" t="s">
        <v>319</v>
      </c>
    </row>
    <row r="13" spans="1:28" x14ac:dyDescent="0.25">
      <c r="A13" s="4" t="s">
        <v>320</v>
      </c>
      <c r="B13" s="37">
        <f>INDEX(Census_pop_2020_2025!G:G, MATCH("."&amp;About!$B$1, Census_pop_2020_2025!A:A, 0))</f>
        <v>3230454</v>
      </c>
      <c r="C13" s="37">
        <f>INDEX(Census_pop_2020_2025!H:H, MATCH("."&amp;About!$B$1, Census_pop_2020_2025!A:A, 0))</f>
        <v>3238387</v>
      </c>
      <c r="D13" s="37">
        <f>INDEX(Census_pop_2020_2025!H:H, MATCH("."&amp;About!$B$1, Census_pop_2020_2025!A:A, 0))+0.2*(INDEX(Cooper_pop_2030_2050!D:D, MATCH(About!$B$1, Cooper_pop_2030_2050!B:B, 0))-INDEX(Census_pop_2020_2025!H:H, MATCH("."&amp;About!$B$1, Census_pop_2020_2025!A:A, 0)))</f>
        <v>3251066.3146849596</v>
      </c>
      <c r="E13" s="37">
        <f>INDEX(Census_pop_2020_2025!H:H, MATCH("."&amp;About!$B$1, Census_pop_2020_2025!A:A, 0))+0.4*(INDEX(Cooper_pop_2030_2050!D:D, MATCH(About!$B$1, Cooper_pop_2030_2050!B:B, 0))-INDEX(Census_pop_2020_2025!H:H, MATCH("."&amp;About!$B$1, Census_pop_2020_2025!A:A, 0)))</f>
        <v>3263745.6293699192</v>
      </c>
      <c r="F13" s="37">
        <f>INDEX(Census_pop_2020_2025!H:H, MATCH("."&amp;About!$B$1, Census_pop_2020_2025!A:A, 0))+0.6*(INDEX(Cooper_pop_2030_2050!D:D, MATCH(About!$B$1, Cooper_pop_2030_2050!B:B, 0))-INDEX(Census_pop_2020_2025!H:H, MATCH("."&amp;About!$B$1, Census_pop_2020_2025!A:A, 0)))</f>
        <v>3276424.9440548788</v>
      </c>
      <c r="G13" s="37">
        <f>INDEX(Census_pop_2020_2025!H:H, MATCH("."&amp;About!$B$1, Census_pop_2020_2025!A:A, 0))+0.8*(INDEX(Cooper_pop_2030_2050!D:D, MATCH(About!$B$1, Cooper_pop_2030_2050!B:B, 0))-INDEX(Census_pop_2020_2025!H:H, MATCH("."&amp;About!$B$1, Census_pop_2020_2025!A:A, 0)))</f>
        <v>3289104.2587398384</v>
      </c>
      <c r="H13" s="37">
        <f>INDEX(Cooper_pop_2030_2050!D:D, MATCH(About!$B$1, Cooper_pop_2030_2050!B:B, 0))</f>
        <v>3301783.573424798</v>
      </c>
      <c r="I13" s="37">
        <f>INDEX(Cooper_pop_2030_2050!D:D, MATCH(About!$B$1, Cooper_pop_2030_2050!B:B, 0))+0.1*(INDEX(Cooper_pop_2030_2050!E:E, MATCH(About!$B$1, Cooper_pop_2030_2050!B:B, 0))-INDEX(Cooper_pop_2030_2050!D:D, MATCH(About!$B$1, Cooper_pop_2030_2050!B:B, 0)))</f>
        <v>3304061.9491900378</v>
      </c>
      <c r="J13" s="37">
        <f>INDEX(Cooper_pop_2030_2050!D:D, MATCH(About!$B$1, Cooper_pop_2030_2050!B:B, 0))+0.2*(INDEX(Cooper_pop_2030_2050!E:E, MATCH(About!$B$1, Cooper_pop_2030_2050!B:B, 0))-INDEX(Cooper_pop_2030_2050!D:D, MATCH(About!$B$1, Cooper_pop_2030_2050!B:B, 0)))</f>
        <v>3306340.3249552771</v>
      </c>
      <c r="K13" s="37">
        <f>INDEX(Cooper_pop_2030_2050!D:D, MATCH(About!$B$1, Cooper_pop_2030_2050!B:B, 0))+0.3*(INDEX(Cooper_pop_2030_2050!E:E, MATCH(About!$B$1, Cooper_pop_2030_2050!B:B, 0))-INDEX(Cooper_pop_2030_2050!D:D, MATCH(About!$B$1, Cooper_pop_2030_2050!B:B, 0)))</f>
        <v>3308618.700720517</v>
      </c>
      <c r="L13" s="37">
        <f>INDEX(Cooper_pop_2030_2050!D:D, MATCH(About!$B$1, Cooper_pop_2030_2050!B:B, 0))+0.4*(INDEX(Cooper_pop_2030_2050!E:E, MATCH(About!$B$1, Cooper_pop_2030_2050!B:B, 0))-INDEX(Cooper_pop_2030_2050!D:D, MATCH(About!$B$1, Cooper_pop_2030_2050!B:B, 0)))</f>
        <v>3310897.0764857568</v>
      </c>
      <c r="M13" s="37">
        <f>INDEX(Cooper_pop_2030_2050!D:D, MATCH(About!$B$1, Cooper_pop_2030_2050!B:B, 0))+0.5*(INDEX(Cooper_pop_2030_2050!E:E, MATCH(About!$B$1, Cooper_pop_2030_2050!B:B, 0))-INDEX(Cooper_pop_2030_2050!D:D, MATCH(About!$B$1, Cooper_pop_2030_2050!B:B, 0)))</f>
        <v>3313175.4522509966</v>
      </c>
      <c r="N13" s="37">
        <f>INDEX(Cooper_pop_2030_2050!D:D, MATCH(About!$B$1, Cooper_pop_2030_2050!B:B, 0))+0.6*(INDEX(Cooper_pop_2030_2050!E:E, MATCH(About!$B$1, Cooper_pop_2030_2050!B:B, 0))-INDEX(Cooper_pop_2030_2050!D:D, MATCH(About!$B$1, Cooper_pop_2030_2050!B:B, 0)))</f>
        <v>3315453.828016236</v>
      </c>
      <c r="O13" s="37">
        <f>INDEX(Cooper_pop_2030_2050!D:D, MATCH(About!$B$1, Cooper_pop_2030_2050!B:B, 0))+0.7*(INDEX(Cooper_pop_2030_2050!E:E, MATCH(About!$B$1, Cooper_pop_2030_2050!B:B, 0))-INDEX(Cooper_pop_2030_2050!D:D, MATCH(About!$B$1, Cooper_pop_2030_2050!B:B, 0)))</f>
        <v>3317732.2037814758</v>
      </c>
      <c r="P13" s="37">
        <f>INDEX(Cooper_pop_2030_2050!D:D, MATCH(About!$B$1, Cooper_pop_2030_2050!B:B, 0))+0.8*(INDEX(Cooper_pop_2030_2050!E:E, MATCH(About!$B$1, Cooper_pop_2030_2050!B:B, 0))-INDEX(Cooper_pop_2030_2050!D:D, MATCH(About!$B$1, Cooper_pop_2030_2050!B:B, 0)))</f>
        <v>3320010.5795467156</v>
      </c>
      <c r="Q13" s="37">
        <f>INDEX(Cooper_pop_2030_2050!D:D, MATCH(About!$B$1, Cooper_pop_2030_2050!B:B, 0))+0.9*(INDEX(Cooper_pop_2030_2050!E:E, MATCH(About!$B$1, Cooper_pop_2030_2050!B:B, 0))-INDEX(Cooper_pop_2030_2050!D:D, MATCH(About!$B$1, Cooper_pop_2030_2050!B:B, 0)))</f>
        <v>3322288.955311955</v>
      </c>
      <c r="R13" s="37">
        <f>INDEX(Cooper_pop_2030_2050!E:E, MATCH(About!$B$1, Cooper_pop_2030_2050!B:B, 0))</f>
        <v>3324567.3310771948</v>
      </c>
      <c r="S13" s="37">
        <f>INDEX(Cooper_pop_2030_2050!E:E, MATCH(About!$B$1, Cooper_pop_2030_2050!B:B, 0))+0.1*(INDEX(Cooper_pop_2030_2050!F:F, MATCH(About!$B$1, Cooper_pop_2030_2050!B:B, 0))-INDEX(Cooper_pop_2030_2050!E:E, MATCH(About!$B$1, Cooper_pop_2030_2050!B:B, 0)))</f>
        <v>3322938.8528293232</v>
      </c>
      <c r="T13" s="37">
        <f>INDEX(Cooper_pop_2030_2050!E:E, MATCH(About!$B$1, Cooper_pop_2030_2050!B:B, 0))+0.2*(INDEX(Cooper_pop_2030_2050!F:F, MATCH(About!$B$1, Cooper_pop_2030_2050!B:B, 0))-INDEX(Cooper_pop_2030_2050!E:E, MATCH(About!$B$1, Cooper_pop_2030_2050!B:B, 0)))</f>
        <v>3321310.374581452</v>
      </c>
      <c r="U13" s="37">
        <f>INDEX(Cooper_pop_2030_2050!E:E, MATCH(About!$B$1, Cooper_pop_2030_2050!B:B, 0))+0.3*(INDEX(Cooper_pop_2030_2050!F:F, MATCH(About!$B$1, Cooper_pop_2030_2050!B:B, 0))-INDEX(Cooper_pop_2030_2050!E:E, MATCH(About!$B$1, Cooper_pop_2030_2050!B:B, 0)))</f>
        <v>3319681.8963335804</v>
      </c>
      <c r="V13" s="37">
        <f>INDEX(Cooper_pop_2030_2050!E:E, MATCH(About!$B$1, Cooper_pop_2030_2050!B:B, 0))+0.4*(INDEX(Cooper_pop_2030_2050!F:F, MATCH(About!$B$1, Cooper_pop_2030_2050!B:B, 0))-INDEX(Cooper_pop_2030_2050!E:E, MATCH(About!$B$1, Cooper_pop_2030_2050!B:B, 0)))</f>
        <v>3318053.4180857087</v>
      </c>
      <c r="W13" s="37">
        <f>INDEX(Cooper_pop_2030_2050!E:E, MATCH(About!$B$1, Cooper_pop_2030_2050!B:B, 0))+0.5*(INDEX(Cooper_pop_2030_2050!F:F, MATCH(About!$B$1, Cooper_pop_2030_2050!B:B, 0))-INDEX(Cooper_pop_2030_2050!E:E, MATCH(About!$B$1, Cooper_pop_2030_2050!B:B, 0)))</f>
        <v>3316424.9398378376</v>
      </c>
      <c r="X13" s="37">
        <f>INDEX(Cooper_pop_2030_2050!E:E, MATCH(About!$B$1, Cooper_pop_2030_2050!B:B, 0))+0.6*(INDEX(Cooper_pop_2030_2050!F:F, MATCH(About!$B$1, Cooper_pop_2030_2050!B:B, 0))-INDEX(Cooper_pop_2030_2050!E:E, MATCH(About!$B$1, Cooper_pop_2030_2050!B:B, 0)))</f>
        <v>3314796.461589966</v>
      </c>
      <c r="Y13" s="37">
        <f>INDEX(Cooper_pop_2030_2050!E:E, MATCH(About!$B$1, Cooper_pop_2030_2050!B:B, 0))+0.7*(INDEX(Cooper_pop_2030_2050!F:F, MATCH(About!$B$1, Cooper_pop_2030_2050!B:B, 0))-INDEX(Cooper_pop_2030_2050!E:E, MATCH(About!$B$1, Cooper_pop_2030_2050!B:B, 0)))</f>
        <v>3313167.9833420943</v>
      </c>
      <c r="Z13" s="37">
        <f>INDEX(Cooper_pop_2030_2050!E:E, MATCH(About!$B$1, Cooper_pop_2030_2050!B:B, 0))+0.8*(INDEX(Cooper_pop_2030_2050!F:F, MATCH(About!$B$1, Cooper_pop_2030_2050!B:B, 0))-INDEX(Cooper_pop_2030_2050!E:E, MATCH(About!$B$1, Cooper_pop_2030_2050!B:B, 0)))</f>
        <v>3311539.5050942227</v>
      </c>
      <c r="AA13" s="37">
        <f>INDEX(Cooper_pop_2030_2050!E:E, MATCH(About!$B$1, Cooper_pop_2030_2050!B:B, 0))+0.9*(INDEX(Cooper_pop_2030_2050!F:F, MATCH(About!$B$1, Cooper_pop_2030_2050!B:B, 0))-INDEX(Cooper_pop_2030_2050!E:E, MATCH(About!$B$1, Cooper_pop_2030_2050!B:B, 0)))</f>
        <v>3309911.0268463516</v>
      </c>
      <c r="AB13" s="37">
        <f>INDEX(Cooper_pop_2030_2050!F:F, MATCH(About!$B$1, Cooper_pop_2030_2050!B:B, 0))</f>
        <v>3308282.5485984799</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9.6006692396252043E-3</v>
      </c>
      <c r="C15" s="39">
        <f t="shared" si="1"/>
        <v>9.5805657679916521E-3</v>
      </c>
      <c r="D15" s="39">
        <f t="shared" si="1"/>
        <v>9.5756742268473354E-3</v>
      </c>
      <c r="E15" s="39">
        <f t="shared" si="1"/>
        <v>9.571929734852833E-3</v>
      </c>
      <c r="F15" s="39">
        <f t="shared" si="1"/>
        <v>9.5694235379363227E-3</v>
      </c>
      <c r="G15" s="39">
        <f t="shared" si="1"/>
        <v>9.5681977765878327E-3</v>
      </c>
      <c r="H15" s="39">
        <f t="shared" si="1"/>
        <v>9.5683468927119878E-3</v>
      </c>
      <c r="I15" s="39">
        <f t="shared" si="1"/>
        <v>9.5399577600015859E-3</v>
      </c>
      <c r="J15" s="39">
        <f t="shared" si="1"/>
        <v>9.5134137813541464E-3</v>
      </c>
      <c r="K15" s="39">
        <f t="shared" si="1"/>
        <v>9.4883897555442503E-3</v>
      </c>
      <c r="L15" s="39">
        <f t="shared" si="1"/>
        <v>9.4649076567664536E-3</v>
      </c>
      <c r="M15" s="39">
        <f t="shared" si="1"/>
        <v>9.4429835719569196E-3</v>
      </c>
      <c r="N15" s="39">
        <f t="shared" si="1"/>
        <v>9.4226252857897066E-3</v>
      </c>
      <c r="O15" s="39">
        <f t="shared" si="1"/>
        <v>9.4038416631262445E-3</v>
      </c>
      <c r="P15" s="39">
        <f t="shared" si="1"/>
        <v>9.3866304385354614E-3</v>
      </c>
      <c r="Q15" s="39">
        <f t="shared" si="1"/>
        <v>9.3709709554753769E-3</v>
      </c>
      <c r="R15" s="39">
        <f t="shared" si="1"/>
        <v>9.3568323655004188E-3</v>
      </c>
      <c r="S15" s="39">
        <f t="shared" si="1"/>
        <v>9.3332185075306884E-3</v>
      </c>
      <c r="T15" s="39">
        <f t="shared" si="1"/>
        <v>9.3110730835414719E-3</v>
      </c>
      <c r="U15" s="39">
        <f t="shared" si="1"/>
        <v>9.2903085873649854E-3</v>
      </c>
      <c r="V15" s="39">
        <f t="shared" si="1"/>
        <v>9.2708073567072929E-3</v>
      </c>
      <c r="W15" s="39">
        <f t="shared" si="1"/>
        <v>9.2524374917102806E-3</v>
      </c>
      <c r="X15" s="39">
        <f t="shared" si="1"/>
        <v>9.2350642848974523E-3</v>
      </c>
      <c r="Y15" s="39">
        <f t="shared" si="1"/>
        <v>9.218600409841295E-3</v>
      </c>
      <c r="Z15" s="39">
        <f t="shared" si="1"/>
        <v>9.2029193471084274E-3</v>
      </c>
      <c r="AA15" s="39">
        <f t="shared" si="1"/>
        <v>9.1878934320678268E-3</v>
      </c>
      <c r="AB15" s="39">
        <f t="shared" si="1"/>
        <v>9.1733977432343142E-3</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91.502888548119316</v>
      </c>
      <c r="C48" s="37">
        <f t="shared" si="10"/>
        <v>90.622399166884023</v>
      </c>
      <c r="D48" s="37">
        <f t="shared" si="10"/>
        <v>89.877898756955886</v>
      </c>
      <c r="E48" s="37">
        <f t="shared" si="10"/>
        <v>89.144794340079386</v>
      </c>
      <c r="F48" s="37">
        <f t="shared" si="10"/>
        <v>88.404295474475248</v>
      </c>
      <c r="G48" s="37">
        <f t="shared" si="10"/>
        <v>87.656525044418828</v>
      </c>
      <c r="H48" s="37">
        <f t="shared" si="10"/>
        <v>86.902052584188581</v>
      </c>
      <c r="I48" s="37">
        <f t="shared" si="10"/>
        <v>85.919604053031009</v>
      </c>
      <c r="J48" s="37">
        <f t="shared" si="10"/>
        <v>84.890503743610537</v>
      </c>
      <c r="K48" s="37">
        <f t="shared" si="10"/>
        <v>83.888858049011219</v>
      </c>
      <c r="L48" s="37">
        <f t="shared" si="10"/>
        <v>82.847311019343408</v>
      </c>
      <c r="M48" s="37">
        <f t="shared" si="10"/>
        <v>81.832965385015811</v>
      </c>
      <c r="N48" s="37">
        <f t="shared" si="10"/>
        <v>80.854956899410169</v>
      </c>
      <c r="O48" s="37">
        <f t="shared" si="10"/>
        <v>79.77950666438133</v>
      </c>
      <c r="P48" s="37">
        <f t="shared" si="10"/>
        <v>78.74941434979543</v>
      </c>
      <c r="Q48" s="37">
        <f t="shared" si="10"/>
        <v>77.678494250355001</v>
      </c>
      <c r="R48" s="37">
        <f t="shared" si="10"/>
        <v>76.613692802561999</v>
      </c>
      <c r="S48" s="37">
        <f t="shared" si="10"/>
        <v>75.446774906847708</v>
      </c>
      <c r="T48" s="37">
        <f t="shared" si="10"/>
        <v>74.296500612614153</v>
      </c>
      <c r="U48" s="37">
        <f t="shared" si="10"/>
        <v>73.161721277333854</v>
      </c>
      <c r="V48" s="37">
        <f t="shared" si="10"/>
        <v>72.04109043469208</v>
      </c>
      <c r="W48" s="37">
        <f t="shared" si="10"/>
        <v>70.942571865475458</v>
      </c>
      <c r="X48" s="37">
        <f t="shared" si="10"/>
        <v>69.93020903291719</v>
      </c>
      <c r="Y48" s="37">
        <f t="shared" si="10"/>
        <v>68.927953091476368</v>
      </c>
      <c r="Z48" s="37">
        <f t="shared" si="10"/>
        <v>67.981211170302487</v>
      </c>
      <c r="AA48" s="37">
        <f t="shared" si="10"/>
        <v>67.051381444831179</v>
      </c>
      <c r="AB48" s="37">
        <f t="shared" si="10"/>
        <v>66.128052198333506</v>
      </c>
    </row>
    <row r="49" spans="1:28" x14ac:dyDescent="0.25">
      <c r="A49" s="4" t="s">
        <v>216</v>
      </c>
      <c r="B49" s="37">
        <f t="shared" ref="B49:AB49" si="11">B29*B15*$F$5</f>
        <v>71.141104404944528</v>
      </c>
      <c r="C49" s="37">
        <f t="shared" si="11"/>
        <v>70.604253896005858</v>
      </c>
      <c r="D49" s="37">
        <f t="shared" si="11"/>
        <v>70.180520104940456</v>
      </c>
      <c r="E49" s="37">
        <f t="shared" si="11"/>
        <v>69.756090683312891</v>
      </c>
      <c r="F49" s="37">
        <f t="shared" si="11"/>
        <v>69.32204552236405</v>
      </c>
      <c r="G49" s="37">
        <f t="shared" si="11"/>
        <v>68.897438138938028</v>
      </c>
      <c r="H49" s="37">
        <f t="shared" si="11"/>
        <v>68.4733290672077</v>
      </c>
      <c r="I49" s="37">
        <f t="shared" si="11"/>
        <v>67.7991461278109</v>
      </c>
      <c r="J49" s="37">
        <f t="shared" si="11"/>
        <v>67.168971480335429</v>
      </c>
      <c r="K49" s="37">
        <f t="shared" si="11"/>
        <v>66.495704415617993</v>
      </c>
      <c r="L49" s="37">
        <f t="shared" si="11"/>
        <v>65.854474701510625</v>
      </c>
      <c r="M49" s="37">
        <f t="shared" si="11"/>
        <v>65.170423691285848</v>
      </c>
      <c r="N49" s="37">
        <f t="shared" si="11"/>
        <v>64.453035843967712</v>
      </c>
      <c r="O49" s="37">
        <f t="shared" si="11"/>
        <v>63.795245789326323</v>
      </c>
      <c r="P49" s="37">
        <f t="shared" si="11"/>
        <v>63.057458159885577</v>
      </c>
      <c r="Q49" s="37">
        <f t="shared" si="11"/>
        <v>62.35077677166602</v>
      </c>
      <c r="R49" s="37">
        <f t="shared" si="11"/>
        <v>61.609929220203462</v>
      </c>
      <c r="S49" s="37">
        <f t="shared" si="11"/>
        <v>60.80930147467123</v>
      </c>
      <c r="T49" s="37">
        <f t="shared" si="11"/>
        <v>60.003015229640859</v>
      </c>
      <c r="U49" s="37">
        <f t="shared" si="11"/>
        <v>59.208678867533813</v>
      </c>
      <c r="V49" s="37">
        <f t="shared" si="11"/>
        <v>58.443565715799956</v>
      </c>
      <c r="W49" s="37">
        <f t="shared" si="11"/>
        <v>57.697339069802759</v>
      </c>
      <c r="X49" s="37">
        <f t="shared" si="11"/>
        <v>56.95064347580648</v>
      </c>
      <c r="Y49" s="37">
        <f t="shared" si="11"/>
        <v>56.248307027172508</v>
      </c>
      <c r="Z49" s="37">
        <f t="shared" si="11"/>
        <v>55.543754332172306</v>
      </c>
      <c r="AA49" s="37">
        <f t="shared" si="11"/>
        <v>54.872405802931219</v>
      </c>
      <c r="AB49" s="37">
        <f t="shared" si="11"/>
        <v>54.260440662214236</v>
      </c>
    </row>
    <row r="50" spans="1:28" x14ac:dyDescent="0.25">
      <c r="A50" s="4" t="s">
        <v>217</v>
      </c>
      <c r="B50" s="37">
        <f t="shared" ref="B50:AB50" si="12">B30*B15*$F$6</f>
        <v>112.07113237898045</v>
      </c>
      <c r="C50" s="37">
        <f t="shared" si="12"/>
        <v>111.09905109560842</v>
      </c>
      <c r="D50" s="37">
        <f t="shared" si="12"/>
        <v>110.31663461492553</v>
      </c>
      <c r="E50" s="37">
        <f t="shared" si="12"/>
        <v>109.52541817558303</v>
      </c>
      <c r="F50" s="37">
        <f t="shared" si="12"/>
        <v>108.73752771287674</v>
      </c>
      <c r="G50" s="37">
        <f t="shared" si="12"/>
        <v>107.96448294607072</v>
      </c>
      <c r="H50" s="37">
        <f t="shared" si="12"/>
        <v>107.16171618561806</v>
      </c>
      <c r="I50" s="37">
        <f t="shared" si="12"/>
        <v>106.0530031867756</v>
      </c>
      <c r="J50" s="37">
        <f t="shared" si="12"/>
        <v>104.91302952156026</v>
      </c>
      <c r="K50" s="37">
        <f t="shared" si="12"/>
        <v>103.7494551697464</v>
      </c>
      <c r="L50" s="37">
        <f t="shared" si="12"/>
        <v>102.55123948159196</v>
      </c>
      <c r="M50" s="37">
        <f t="shared" si="12"/>
        <v>101.31851203717675</v>
      </c>
      <c r="N50" s="37">
        <f t="shared" si="12"/>
        <v>100.05125232328764</v>
      </c>
      <c r="O50" s="37">
        <f t="shared" si="12"/>
        <v>98.715985747124961</v>
      </c>
      <c r="P50" s="37">
        <f t="shared" si="12"/>
        <v>97.357112444642752</v>
      </c>
      <c r="Q50" s="37">
        <f t="shared" si="12"/>
        <v>95.962976776564176</v>
      </c>
      <c r="R50" s="37">
        <f t="shared" si="12"/>
        <v>94.532933342649471</v>
      </c>
      <c r="S50" s="37">
        <f t="shared" si="12"/>
        <v>92.979190557701642</v>
      </c>
      <c r="T50" s="37">
        <f t="shared" si="12"/>
        <v>91.446524642351278</v>
      </c>
      <c r="U50" s="37">
        <f t="shared" si="12"/>
        <v>89.933467742626235</v>
      </c>
      <c r="V50" s="37">
        <f t="shared" si="12"/>
        <v>88.44929159854118</v>
      </c>
      <c r="W50" s="37">
        <f t="shared" si="12"/>
        <v>87.014069639503077</v>
      </c>
      <c r="X50" s="37">
        <f t="shared" si="12"/>
        <v>85.636830532295932</v>
      </c>
      <c r="Y50" s="37">
        <f t="shared" si="12"/>
        <v>84.294303447150725</v>
      </c>
      <c r="Z50" s="37">
        <f t="shared" si="12"/>
        <v>82.995776003934125</v>
      </c>
      <c r="AA50" s="37">
        <f t="shared" si="12"/>
        <v>81.761410073397471</v>
      </c>
      <c r="AB50" s="37">
        <f t="shared" si="12"/>
        <v>80.56788105314665</v>
      </c>
    </row>
    <row r="51" spans="1:28" x14ac:dyDescent="0.25">
      <c r="A51" s="4" t="s">
        <v>218</v>
      </c>
      <c r="B51" s="37">
        <f t="shared" ref="B51:AB51" si="13">B31*B15*$F$7</f>
        <v>15.617191104381941</v>
      </c>
      <c r="C51" s="37">
        <f t="shared" si="13"/>
        <v>15.374608348580463</v>
      </c>
      <c r="D51" s="37">
        <f t="shared" si="13"/>
        <v>15.160314554651134</v>
      </c>
      <c r="E51" s="37">
        <f t="shared" si="13"/>
        <v>14.941366088316579</v>
      </c>
      <c r="F51" s="37">
        <f t="shared" si="13"/>
        <v>14.717834517209505</v>
      </c>
      <c r="G51" s="37">
        <f t="shared" si="13"/>
        <v>14.496357913108051</v>
      </c>
      <c r="H51" s="37">
        <f t="shared" si="13"/>
        <v>14.26700745316468</v>
      </c>
      <c r="I51" s="37">
        <f t="shared" si="13"/>
        <v>13.999099561836973</v>
      </c>
      <c r="J51" s="37">
        <f t="shared" si="13"/>
        <v>13.735198207300696</v>
      </c>
      <c r="K51" s="37">
        <f t="shared" si="13"/>
        <v>13.474710673526188</v>
      </c>
      <c r="L51" s="37">
        <f t="shared" si="13"/>
        <v>13.22414227662818</v>
      </c>
      <c r="M51" s="37">
        <f t="shared" si="13"/>
        <v>12.986643581543657</v>
      </c>
      <c r="N51" s="37">
        <f t="shared" si="13"/>
        <v>12.752224558387647</v>
      </c>
      <c r="O51" s="37">
        <f t="shared" si="13"/>
        <v>12.530604076624599</v>
      </c>
      <c r="P51" s="37">
        <f t="shared" si="13"/>
        <v>12.311829800427692</v>
      </c>
      <c r="Q51" s="37">
        <f t="shared" si="13"/>
        <v>12.102293769593716</v>
      </c>
      <c r="R51" s="37">
        <f t="shared" si="13"/>
        <v>11.898576541476556</v>
      </c>
      <c r="S51" s="37">
        <f t="shared" si="13"/>
        <v>11.683558403539273</v>
      </c>
      <c r="T51" s="37">
        <f t="shared" si="13"/>
        <v>11.474523195460378</v>
      </c>
      <c r="U51" s="37">
        <f t="shared" si="13"/>
        <v>11.268025354953156</v>
      </c>
      <c r="V51" s="37">
        <f t="shared" si="13"/>
        <v>11.070291252716038</v>
      </c>
      <c r="W51" s="37">
        <f t="shared" si="13"/>
        <v>10.871401893603942</v>
      </c>
      <c r="X51" s="37">
        <f t="shared" si="13"/>
        <v>10.680789778697056</v>
      </c>
      <c r="Y51" s="37">
        <f t="shared" si="13"/>
        <v>10.501469685118172</v>
      </c>
      <c r="Z51" s="37">
        <f t="shared" si="13"/>
        <v>10.32360022750046</v>
      </c>
      <c r="AA51" s="37">
        <f t="shared" si="13"/>
        <v>10.153389381770173</v>
      </c>
      <c r="AB51" s="37">
        <f t="shared" si="13"/>
        <v>9.9842572254504773</v>
      </c>
    </row>
    <row r="52" spans="1:28" x14ac:dyDescent="0.25">
      <c r="A52" s="4" t="s">
        <v>219</v>
      </c>
      <c r="B52" s="37">
        <f t="shared" ref="B52:AB52" si="14">B32*B15*$F$8</f>
        <v>3.7501408583842886</v>
      </c>
      <c r="C52" s="37">
        <f t="shared" si="14"/>
        <v>3.7553275239131878</v>
      </c>
      <c r="D52" s="37">
        <f t="shared" si="14"/>
        <v>3.7664428438004647</v>
      </c>
      <c r="E52" s="37">
        <f t="shared" si="14"/>
        <v>3.7823401098223566</v>
      </c>
      <c r="F52" s="37">
        <f t="shared" si="14"/>
        <v>3.7987153440442452</v>
      </c>
      <c r="G52" s="37">
        <f t="shared" si="14"/>
        <v>3.8155920925622211</v>
      </c>
      <c r="H52" s="37">
        <f t="shared" si="14"/>
        <v>3.8330151589539496</v>
      </c>
      <c r="I52" s="37">
        <f t="shared" si="14"/>
        <v>3.8389547486244009</v>
      </c>
      <c r="J52" s="37">
        <f t="shared" si="14"/>
        <v>3.8455371562651082</v>
      </c>
      <c r="K52" s="37">
        <f t="shared" si="14"/>
        <v>3.8612496354524493</v>
      </c>
      <c r="L52" s="37">
        <f t="shared" si="14"/>
        <v>3.8688696122507755</v>
      </c>
      <c r="M52" s="37">
        <f t="shared" si="14"/>
        <v>3.8770440436084481</v>
      </c>
      <c r="N52" s="37">
        <f t="shared" si="14"/>
        <v>3.8857846217836549</v>
      </c>
      <c r="O52" s="37">
        <f t="shared" si="14"/>
        <v>3.8951035429590473</v>
      </c>
      <c r="P52" s="37">
        <f t="shared" si="14"/>
        <v>3.900749976588648</v>
      </c>
      <c r="Q52" s="37">
        <f t="shared" si="14"/>
        <v>3.9112478775763395</v>
      </c>
      <c r="R52" s="37">
        <f t="shared" si="14"/>
        <v>3.9138366091168968</v>
      </c>
      <c r="S52" s="37">
        <f t="shared" si="14"/>
        <v>3.916661938615297</v>
      </c>
      <c r="T52" s="37">
        <f t="shared" si="14"/>
        <v>3.9242653958739151</v>
      </c>
      <c r="U52" s="37">
        <f t="shared" si="14"/>
        <v>3.9239434696249029</v>
      </c>
      <c r="V52" s="37">
        <f t="shared" si="14"/>
        <v>3.9283244881906692</v>
      </c>
      <c r="W52" s="37">
        <f t="shared" si="14"/>
        <v>3.9331333576937162</v>
      </c>
      <c r="X52" s="37">
        <f t="shared" si="14"/>
        <v>3.9341275520062871</v>
      </c>
      <c r="Y52" s="37">
        <f t="shared" si="14"/>
        <v>3.9438428787149871</v>
      </c>
      <c r="Z52" s="37">
        <f t="shared" si="14"/>
        <v>3.9454845382163559</v>
      </c>
      <c r="AA52" s="37">
        <f t="shared" si="14"/>
        <v>3.9473792114212212</v>
      </c>
      <c r="AB52" s="37">
        <f t="shared" si="14"/>
        <v>3.9494748985117396</v>
      </c>
    </row>
    <row r="53" spans="1:28" x14ac:dyDescent="0.25">
      <c r="A53" s="4" t="s">
        <v>220</v>
      </c>
      <c r="B53" s="37">
        <f t="shared" ref="B53:AB53" si="15">B33*B15*$F$9</f>
        <v>10.266679473680126</v>
      </c>
      <c r="C53" s="37">
        <f t="shared" si="15"/>
        <v>10.332920107129201</v>
      </c>
      <c r="D53" s="37">
        <f t="shared" si="15"/>
        <v>10.395101291669084</v>
      </c>
      <c r="E53" s="37">
        <f t="shared" si="15"/>
        <v>10.471952940511022</v>
      </c>
      <c r="F53" s="37">
        <f t="shared" si="15"/>
        <v>10.543365195572999</v>
      </c>
      <c r="G53" s="37">
        <f t="shared" si="15"/>
        <v>10.602678447967905</v>
      </c>
      <c r="H53" s="37">
        <f t="shared" si="15"/>
        <v>10.690470493337545</v>
      </c>
      <c r="I53" s="37">
        <f t="shared" si="15"/>
        <v>10.719236759316759</v>
      </c>
      <c r="J53" s="37">
        <f t="shared" si="15"/>
        <v>10.756429809021684</v>
      </c>
      <c r="K53" s="37">
        <f t="shared" si="15"/>
        <v>10.774925540301886</v>
      </c>
      <c r="L53" s="37">
        <f t="shared" si="15"/>
        <v>10.801600729503011</v>
      </c>
      <c r="M53" s="37">
        <f t="shared" si="15"/>
        <v>10.809841439787823</v>
      </c>
      <c r="N53" s="37">
        <f t="shared" si="15"/>
        <v>10.833001401430264</v>
      </c>
      <c r="O53" s="37">
        <f t="shared" si="15"/>
        <v>10.844529431900876</v>
      </c>
      <c r="P53" s="37">
        <f t="shared" si="15"/>
        <v>10.844518947174212</v>
      </c>
      <c r="Q53" s="37">
        <f t="shared" si="15"/>
        <v>10.833028784890002</v>
      </c>
      <c r="R53" s="37">
        <f t="shared" si="15"/>
        <v>10.823275813688998</v>
      </c>
      <c r="S53" s="37">
        <f t="shared" si="15"/>
        <v>10.795961089234384</v>
      </c>
      <c r="T53" s="37">
        <f t="shared" si="15"/>
        <v>10.744107800631609</v>
      </c>
      <c r="U53" s="37">
        <f t="shared" si="15"/>
        <v>10.707058200215078</v>
      </c>
      <c r="V53" s="37">
        <f t="shared" si="15"/>
        <v>10.65845940399009</v>
      </c>
      <c r="W53" s="37">
        <f t="shared" si="15"/>
        <v>10.61126803072823</v>
      </c>
      <c r="X53" s="37">
        <f t="shared" si="15"/>
        <v>10.578331883442347</v>
      </c>
      <c r="Y53" s="37">
        <f t="shared" si="15"/>
        <v>10.52700258366656</v>
      </c>
      <c r="Z53" s="37">
        <f t="shared" si="15"/>
        <v>10.496129708478199</v>
      </c>
      <c r="AA53" s="37">
        <f t="shared" si="15"/>
        <v>10.446629779726386</v>
      </c>
      <c r="AB53" s="37">
        <f t="shared" si="15"/>
        <v>10.417223594463687</v>
      </c>
    </row>
    <row r="54" spans="1:28" x14ac:dyDescent="0.25">
      <c r="A54" s="4" t="s">
        <v>221</v>
      </c>
      <c r="B54" s="37">
        <f t="shared" ref="B54:AB54" si="16">B34*B15*$F$10</f>
        <v>14.873350868112547</v>
      </c>
      <c r="C54" s="37">
        <f t="shared" si="16"/>
        <v>14.904033009043822</v>
      </c>
      <c r="D54" s="37">
        <f t="shared" si="16"/>
        <v>14.965942687498343</v>
      </c>
      <c r="E54" s="37">
        <f t="shared" si="16"/>
        <v>15.033443074658679</v>
      </c>
      <c r="F54" s="37">
        <f t="shared" si="16"/>
        <v>15.114419370313508</v>
      </c>
      <c r="G54" s="37">
        <f t="shared" si="16"/>
        <v>15.181948281156393</v>
      </c>
      <c r="H54" s="37">
        <f t="shared" si="16"/>
        <v>15.247791683023033</v>
      </c>
      <c r="I54" s="37">
        <f t="shared" si="16"/>
        <v>15.264116098601242</v>
      </c>
      <c r="J54" s="37">
        <f t="shared" si="16"/>
        <v>15.275364161213874</v>
      </c>
      <c r="K54" s="37">
        <f t="shared" si="16"/>
        <v>15.281107625465363</v>
      </c>
      <c r="L54" s="37">
        <f t="shared" si="16"/>
        <v>15.277647094179544</v>
      </c>
      <c r="M54" s="37">
        <f t="shared" si="16"/>
        <v>15.265110604131454</v>
      </c>
      <c r="N54" s="37">
        <f t="shared" si="16"/>
        <v>15.243601644478661</v>
      </c>
      <c r="O54" s="37">
        <f t="shared" si="16"/>
        <v>15.213214140716431</v>
      </c>
      <c r="P54" s="37">
        <f t="shared" si="16"/>
        <v>15.162654821151754</v>
      </c>
      <c r="Q54" s="37">
        <f t="shared" si="16"/>
        <v>15.103342801840411</v>
      </c>
      <c r="R54" s="37">
        <f t="shared" si="16"/>
        <v>15.023946720217872</v>
      </c>
      <c r="S54" s="37">
        <f t="shared" si="16"/>
        <v>14.929564925550853</v>
      </c>
      <c r="T54" s="37">
        <f t="shared" si="16"/>
        <v>14.822787077932999</v>
      </c>
      <c r="U54" s="37">
        <f t="shared" si="16"/>
        <v>14.703548107823471</v>
      </c>
      <c r="V54" s="37">
        <f t="shared" si="16"/>
        <v>14.586682008461446</v>
      </c>
      <c r="W54" s="37">
        <f t="shared" si="16"/>
        <v>14.453288280994677</v>
      </c>
      <c r="X54" s="37">
        <f t="shared" si="16"/>
        <v>14.340479095495155</v>
      </c>
      <c r="Y54" s="37">
        <f t="shared" si="16"/>
        <v>14.225677682235206</v>
      </c>
      <c r="Z54" s="37">
        <f t="shared" si="16"/>
        <v>14.112395427545968</v>
      </c>
      <c r="AA54" s="37">
        <f t="shared" si="16"/>
        <v>14.004120838834101</v>
      </c>
      <c r="AB54" s="37">
        <f t="shared" si="16"/>
        <v>13.904328133772939</v>
      </c>
    </row>
    <row r="55" spans="1:28" x14ac:dyDescent="0.25">
      <c r="A55" s="4" t="s">
        <v>222</v>
      </c>
      <c r="B55" s="37">
        <f t="shared" ref="B55:AB55" si="17">B35*B15*$F$11</f>
        <v>143.67713191887395</v>
      </c>
      <c r="C55" s="37">
        <f t="shared" si="17"/>
        <v>141.97256243375853</v>
      </c>
      <c r="D55" s="37">
        <f t="shared" si="17"/>
        <v>140.46419505215729</v>
      </c>
      <c r="E55" s="37">
        <f t="shared" si="17"/>
        <v>138.95203528253279</v>
      </c>
      <c r="F55" s="37">
        <f t="shared" si="17"/>
        <v>137.3821266156429</v>
      </c>
      <c r="G55" s="37">
        <f t="shared" si="17"/>
        <v>135.85310312936315</v>
      </c>
      <c r="H55" s="37">
        <f t="shared" si="17"/>
        <v>134.32186570842515</v>
      </c>
      <c r="I55" s="37">
        <f t="shared" si="17"/>
        <v>132.38360964425496</v>
      </c>
      <c r="J55" s="37">
        <f t="shared" si="17"/>
        <v>130.45804508177292</v>
      </c>
      <c r="K55" s="37">
        <f t="shared" si="17"/>
        <v>128.52918170383472</v>
      </c>
      <c r="L55" s="37">
        <f t="shared" si="17"/>
        <v>126.61847743330766</v>
      </c>
      <c r="M55" s="37">
        <f t="shared" si="17"/>
        <v>124.71463799447012</v>
      </c>
      <c r="N55" s="37">
        <f t="shared" si="17"/>
        <v>122.83868971070045</v>
      </c>
      <c r="O55" s="37">
        <f t="shared" si="17"/>
        <v>120.94688855392745</v>
      </c>
      <c r="P55" s="37">
        <f t="shared" si="17"/>
        <v>119.07087006378778</v>
      </c>
      <c r="Q55" s="37">
        <f t="shared" si="17"/>
        <v>117.20960343885056</v>
      </c>
      <c r="R55" s="37">
        <f t="shared" si="17"/>
        <v>115.37264659538302</v>
      </c>
      <c r="S55" s="37">
        <f t="shared" si="17"/>
        <v>113.39350473029288</v>
      </c>
      <c r="T55" s="37">
        <f t="shared" si="17"/>
        <v>111.46179549367908</v>
      </c>
      <c r="U55" s="37">
        <f t="shared" si="17"/>
        <v>109.59681659265281</v>
      </c>
      <c r="V55" s="37">
        <f t="shared" si="17"/>
        <v>107.77496999119249</v>
      </c>
      <c r="W55" s="37">
        <f t="shared" si="17"/>
        <v>106.0469146488054</v>
      </c>
      <c r="X55" s="37">
        <f t="shared" si="17"/>
        <v>104.35727525840748</v>
      </c>
      <c r="Y55" s="37">
        <f t="shared" si="17"/>
        <v>102.73613359622766</v>
      </c>
      <c r="Z55" s="37">
        <f t="shared" si="17"/>
        <v>101.17085704188079</v>
      </c>
      <c r="AA55" s="37">
        <f t="shared" si="17"/>
        <v>99.648973564429085</v>
      </c>
      <c r="AB55" s="37">
        <f t="shared" si="17"/>
        <v>98.179201754806982</v>
      </c>
    </row>
    <row r="57" spans="1:28" x14ac:dyDescent="0.25">
      <c r="A57" s="4" t="s">
        <v>327</v>
      </c>
    </row>
    <row r="58" spans="1:28" x14ac:dyDescent="0.25">
      <c r="A58" s="4" t="s">
        <v>215</v>
      </c>
      <c r="B58" s="37">
        <f t="shared" ref="B58:AB58" si="18">B38*B15*$F$4</f>
        <v>14509.960438861257</v>
      </c>
      <c r="C58" s="37">
        <f t="shared" si="18"/>
        <v>14743.32319105597</v>
      </c>
      <c r="D58" s="37">
        <f t="shared" si="18"/>
        <v>14997.225182537588</v>
      </c>
      <c r="E58" s="37">
        <f t="shared" si="18"/>
        <v>15251.621557709232</v>
      </c>
      <c r="F58" s="37">
        <f t="shared" si="18"/>
        <v>15507.830729572892</v>
      </c>
      <c r="G58" s="37">
        <f t="shared" si="18"/>
        <v>15766.32353185905</v>
      </c>
      <c r="H58" s="37">
        <f t="shared" si="18"/>
        <v>16026.035050341923</v>
      </c>
      <c r="I58" s="37">
        <f t="shared" si="18"/>
        <v>16234.950232702591</v>
      </c>
      <c r="J58" s="37">
        <f t="shared" si="18"/>
        <v>16440.701756801656</v>
      </c>
      <c r="K58" s="37">
        <f t="shared" si="18"/>
        <v>16643.040146033039</v>
      </c>
      <c r="L58" s="37">
        <f t="shared" si="18"/>
        <v>16840.597115299104</v>
      </c>
      <c r="M58" s="37">
        <f t="shared" si="18"/>
        <v>17033.134390711799</v>
      </c>
      <c r="N58" s="37">
        <f t="shared" si="18"/>
        <v>17218.95674182424</v>
      </c>
      <c r="O58" s="37">
        <f t="shared" si="18"/>
        <v>17397.465685898518</v>
      </c>
      <c r="P58" s="37">
        <f t="shared" si="18"/>
        <v>17566.480900450217</v>
      </c>
      <c r="Q58" s="37">
        <f t="shared" si="18"/>
        <v>17725.700928471266</v>
      </c>
      <c r="R58" s="37">
        <f t="shared" si="18"/>
        <v>17872.491532331394</v>
      </c>
      <c r="S58" s="37">
        <f t="shared" si="18"/>
        <v>17985.95535348223</v>
      </c>
      <c r="T58" s="37">
        <f t="shared" si="18"/>
        <v>18086.05400513878</v>
      </c>
      <c r="U58" s="37">
        <f t="shared" si="18"/>
        <v>18173.810008732569</v>
      </c>
      <c r="V58" s="37">
        <f t="shared" si="18"/>
        <v>18244.901417478308</v>
      </c>
      <c r="W58" s="37">
        <f t="shared" si="18"/>
        <v>18300.447412513811</v>
      </c>
      <c r="X58" s="37">
        <f t="shared" si="18"/>
        <v>18339.475561990563</v>
      </c>
      <c r="Y58" s="37">
        <f t="shared" si="18"/>
        <v>18369.574911937671</v>
      </c>
      <c r="Z58" s="37">
        <f t="shared" si="18"/>
        <v>18384.043180458779</v>
      </c>
      <c r="AA58" s="37">
        <f t="shared" si="18"/>
        <v>18384.026055958009</v>
      </c>
      <c r="AB58" s="37">
        <f t="shared" si="18"/>
        <v>18371.196017503</v>
      </c>
    </row>
    <row r="59" spans="1:28" x14ac:dyDescent="0.25">
      <c r="A59" s="4" t="s">
        <v>216</v>
      </c>
      <c r="B59" s="37">
        <f t="shared" ref="B59:AB59" si="19">B39*B15*$F$5</f>
        <v>13294.569729068895</v>
      </c>
      <c r="C59" s="37">
        <f t="shared" si="19"/>
        <v>13473.397566836042</v>
      </c>
      <c r="D59" s="37">
        <f t="shared" si="19"/>
        <v>13672.057938525113</v>
      </c>
      <c r="E59" s="37">
        <f t="shared" si="19"/>
        <v>13878.21999461011</v>
      </c>
      <c r="F59" s="37">
        <f t="shared" si="19"/>
        <v>14095.8290737807</v>
      </c>
      <c r="G59" s="37">
        <f t="shared" si="19"/>
        <v>14325.659502315781</v>
      </c>
      <c r="H59" s="37">
        <f t="shared" si="19"/>
        <v>14569.068430413481</v>
      </c>
      <c r="I59" s="37">
        <f t="shared" si="19"/>
        <v>14778.21671552943</v>
      </c>
      <c r="J59" s="37">
        <f t="shared" si="19"/>
        <v>14997.675837364206</v>
      </c>
      <c r="K59" s="37">
        <f t="shared" si="19"/>
        <v>15223.581099699199</v>
      </c>
      <c r="L59" s="37">
        <f t="shared" si="19"/>
        <v>15455.604064104224</v>
      </c>
      <c r="M59" s="37">
        <f t="shared" si="19"/>
        <v>15692.793717364033</v>
      </c>
      <c r="N59" s="37">
        <f t="shared" si="19"/>
        <v>15931.800450088354</v>
      </c>
      <c r="O59" s="37">
        <f t="shared" si="19"/>
        <v>16169.457565992452</v>
      </c>
      <c r="P59" s="37">
        <f t="shared" si="19"/>
        <v>16405.088749188224</v>
      </c>
      <c r="Q59" s="37">
        <f t="shared" si="19"/>
        <v>16634.211912928087</v>
      </c>
      <c r="R59" s="37">
        <f t="shared" si="19"/>
        <v>16855.609956279211</v>
      </c>
      <c r="S59" s="37">
        <f t="shared" si="19"/>
        <v>17046.262830617168</v>
      </c>
      <c r="T59" s="37">
        <f t="shared" si="19"/>
        <v>17224.579930844528</v>
      </c>
      <c r="U59" s="37">
        <f t="shared" si="19"/>
        <v>17389.040381133094</v>
      </c>
      <c r="V59" s="37">
        <f t="shared" si="19"/>
        <v>17535.779504127811</v>
      </c>
      <c r="W59" s="37">
        <f t="shared" si="19"/>
        <v>17661.342788625443</v>
      </c>
      <c r="X59" s="37">
        <f t="shared" si="19"/>
        <v>17766.740407162742</v>
      </c>
      <c r="Y59" s="37">
        <f t="shared" si="19"/>
        <v>17860.298535226295</v>
      </c>
      <c r="Z59" s="37">
        <f t="shared" si="19"/>
        <v>17934.362166554547</v>
      </c>
      <c r="AA59" s="37">
        <f t="shared" si="19"/>
        <v>17986.209274320987</v>
      </c>
      <c r="AB59" s="37">
        <f t="shared" si="19"/>
        <v>18016.187415669123</v>
      </c>
    </row>
    <row r="60" spans="1:28" x14ac:dyDescent="0.25">
      <c r="A60" s="4" t="s">
        <v>217</v>
      </c>
      <c r="B60" s="37">
        <f t="shared" ref="B60:AB60" si="20">B40*B15*$F$6</f>
        <v>26650.215150091317</v>
      </c>
      <c r="C60" s="37">
        <f t="shared" si="20"/>
        <v>27039.385301108436</v>
      </c>
      <c r="D60" s="37">
        <f t="shared" si="20"/>
        <v>27465.043471208555</v>
      </c>
      <c r="E60" s="37">
        <f t="shared" si="20"/>
        <v>27895.850847510166</v>
      </c>
      <c r="F60" s="37">
        <f t="shared" si="20"/>
        <v>28337.559500411386</v>
      </c>
      <c r="G60" s="37">
        <f t="shared" si="20"/>
        <v>28790.339950688736</v>
      </c>
      <c r="H60" s="37">
        <f t="shared" si="20"/>
        <v>29255.307142487076</v>
      </c>
      <c r="I60" s="37">
        <f t="shared" si="20"/>
        <v>29636.425885961547</v>
      </c>
      <c r="J60" s="37">
        <f t="shared" si="20"/>
        <v>30022.339705177292</v>
      </c>
      <c r="K60" s="37">
        <f t="shared" si="20"/>
        <v>30407.769843279519</v>
      </c>
      <c r="L60" s="37">
        <f t="shared" si="20"/>
        <v>30791.160959455417</v>
      </c>
      <c r="M60" s="37">
        <f t="shared" si="20"/>
        <v>31171.382142294777</v>
      </c>
      <c r="N60" s="37">
        <f t="shared" si="20"/>
        <v>31542.85605739733</v>
      </c>
      <c r="O60" s="37">
        <f t="shared" si="20"/>
        <v>31902.545653498979</v>
      </c>
      <c r="P60" s="37">
        <f t="shared" si="20"/>
        <v>32246.445164704968</v>
      </c>
      <c r="Q60" s="37">
        <f t="shared" si="20"/>
        <v>32570.331443469997</v>
      </c>
      <c r="R60" s="37">
        <f t="shared" si="20"/>
        <v>32870.16015301273</v>
      </c>
      <c r="S60" s="37">
        <f t="shared" si="20"/>
        <v>33104.360518439586</v>
      </c>
      <c r="T60" s="37">
        <f t="shared" si="20"/>
        <v>33309.479293155717</v>
      </c>
      <c r="U60" s="37">
        <f t="shared" si="20"/>
        <v>33485.568854947924</v>
      </c>
      <c r="V60" s="37">
        <f t="shared" si="20"/>
        <v>33623.805538275221</v>
      </c>
      <c r="W60" s="37">
        <f t="shared" si="20"/>
        <v>33721.76473980688</v>
      </c>
      <c r="X60" s="37">
        <f t="shared" si="20"/>
        <v>33780.25758603352</v>
      </c>
      <c r="Y60" s="37">
        <f t="shared" si="20"/>
        <v>33816.588706796167</v>
      </c>
      <c r="Z60" s="37">
        <f t="shared" si="20"/>
        <v>33815.64597337602</v>
      </c>
      <c r="AA60" s="37">
        <f t="shared" si="20"/>
        <v>33775.393706679555</v>
      </c>
      <c r="AB60" s="37">
        <f t="shared" si="20"/>
        <v>33698.762733470474</v>
      </c>
    </row>
    <row r="61" spans="1:28" x14ac:dyDescent="0.25">
      <c r="A61" s="4" t="s">
        <v>218</v>
      </c>
      <c r="B61" s="37">
        <f t="shared" ref="B61:AB61" si="21">B41*B15*$F$7</f>
        <v>1207.3911508283861</v>
      </c>
      <c r="C61" s="37">
        <f t="shared" si="21"/>
        <v>1223.0392669405978</v>
      </c>
      <c r="D61" s="37">
        <f t="shared" si="21"/>
        <v>1240.5419353698758</v>
      </c>
      <c r="E61" s="37">
        <f t="shared" si="21"/>
        <v>1258.2267838725102</v>
      </c>
      <c r="F61" s="37">
        <f t="shared" si="21"/>
        <v>1276.5084345814698</v>
      </c>
      <c r="G61" s="37">
        <f t="shared" si="21"/>
        <v>1295.4260844219723</v>
      </c>
      <c r="H61" s="37">
        <f t="shared" si="21"/>
        <v>1314.9536109130192</v>
      </c>
      <c r="I61" s="37">
        <f t="shared" si="21"/>
        <v>1330.9660495027358</v>
      </c>
      <c r="J61" s="37">
        <f t="shared" si="21"/>
        <v>1347.4818281747555</v>
      </c>
      <c r="K61" s="37">
        <f t="shared" si="21"/>
        <v>1364.4167367990513</v>
      </c>
      <c r="L61" s="37">
        <f t="shared" si="21"/>
        <v>1381.7747627801068</v>
      </c>
      <c r="M61" s="37">
        <f t="shared" si="21"/>
        <v>1399.4873394871845</v>
      </c>
      <c r="N61" s="37">
        <f t="shared" si="21"/>
        <v>1417.62338891484</v>
      </c>
      <c r="O61" s="37">
        <f t="shared" si="21"/>
        <v>1435.8267236986555</v>
      </c>
      <c r="P61" s="37">
        <f t="shared" si="21"/>
        <v>1454.2581910397016</v>
      </c>
      <c r="Q61" s="37">
        <f t="shared" si="21"/>
        <v>1472.6249627958107</v>
      </c>
      <c r="R61" s="37">
        <f t="shared" si="21"/>
        <v>1490.8945689267191</v>
      </c>
      <c r="S61" s="37">
        <f t="shared" si="21"/>
        <v>1507.3056059392713</v>
      </c>
      <c r="T61" s="37">
        <f t="shared" si="21"/>
        <v>1523.2979956461018</v>
      </c>
      <c r="U61" s="37">
        <f t="shared" si="21"/>
        <v>1538.8963194270498</v>
      </c>
      <c r="V61" s="37">
        <f t="shared" si="21"/>
        <v>1553.9220184571054</v>
      </c>
      <c r="W61" s="37">
        <f t="shared" si="21"/>
        <v>1568.087920484182</v>
      </c>
      <c r="X61" s="37">
        <f t="shared" si="21"/>
        <v>1581.2899633455597</v>
      </c>
      <c r="Y61" s="37">
        <f t="shared" si="21"/>
        <v>1593.9281991298592</v>
      </c>
      <c r="Z61" s="37">
        <f t="shared" si="21"/>
        <v>1605.5630448051159</v>
      </c>
      <c r="AA61" s="37">
        <f t="shared" si="21"/>
        <v>1616.1812501039665</v>
      </c>
      <c r="AB61" s="37">
        <f t="shared" si="21"/>
        <v>1625.6157083814926</v>
      </c>
    </row>
    <row r="62" spans="1:28" x14ac:dyDescent="0.25">
      <c r="A62" s="4" t="s">
        <v>219</v>
      </c>
      <c r="B62" s="37">
        <f t="shared" ref="B62:AB62" si="22">B42*B15*$F$8</f>
        <v>530.73857609372897</v>
      </c>
      <c r="C62" s="37">
        <f t="shared" si="22"/>
        <v>542.09717527488499</v>
      </c>
      <c r="D62" s="37">
        <f t="shared" si="22"/>
        <v>554.66192550260166</v>
      </c>
      <c r="E62" s="37">
        <f t="shared" si="22"/>
        <v>568.09358841225082</v>
      </c>
      <c r="F62" s="37">
        <f t="shared" si="22"/>
        <v>582.56230238469618</v>
      </c>
      <c r="G62" s="37">
        <f t="shared" si="22"/>
        <v>598.06258947082199</v>
      </c>
      <c r="H62" s="37">
        <f t="shared" si="22"/>
        <v>614.64112729531894</v>
      </c>
      <c r="I62" s="37">
        <f t="shared" si="22"/>
        <v>630.3286703888491</v>
      </c>
      <c r="J62" s="37">
        <f t="shared" si="22"/>
        <v>646.68900712249012</v>
      </c>
      <c r="K62" s="37">
        <f t="shared" si="22"/>
        <v>663.59255440588481</v>
      </c>
      <c r="L62" s="37">
        <f t="shared" si="22"/>
        <v>681.20874794261897</v>
      </c>
      <c r="M62" s="37">
        <f t="shared" si="22"/>
        <v>699.40589338726136</v>
      </c>
      <c r="N62" s="37">
        <f t="shared" si="22"/>
        <v>718.09641793806986</v>
      </c>
      <c r="O62" s="37">
        <f t="shared" si="22"/>
        <v>737.15581147564615</v>
      </c>
      <c r="P62" s="37">
        <f t="shared" si="22"/>
        <v>756.51979704252176</v>
      </c>
      <c r="Q62" s="37">
        <f t="shared" si="22"/>
        <v>776.04684654419839</v>
      </c>
      <c r="R62" s="37">
        <f t="shared" si="22"/>
        <v>795.66770084193286</v>
      </c>
      <c r="S62" s="37">
        <f t="shared" si="22"/>
        <v>814.29307106917292</v>
      </c>
      <c r="T62" s="37">
        <f t="shared" si="22"/>
        <v>832.84823894649401</v>
      </c>
      <c r="U62" s="37">
        <f t="shared" si="22"/>
        <v>851.15433718246038</v>
      </c>
      <c r="V62" s="37">
        <f t="shared" si="22"/>
        <v>869.24063201162062</v>
      </c>
      <c r="W62" s="37">
        <f t="shared" si="22"/>
        <v>887.04959837915362</v>
      </c>
      <c r="X62" s="37">
        <f t="shared" si="22"/>
        <v>904.6566107980891</v>
      </c>
      <c r="Y62" s="37">
        <f t="shared" si="22"/>
        <v>922.00187647176017</v>
      </c>
      <c r="Z62" s="37">
        <f t="shared" si="22"/>
        <v>939.11299752967545</v>
      </c>
      <c r="AA62" s="37">
        <f t="shared" si="22"/>
        <v>955.97854830348456</v>
      </c>
      <c r="AB62" s="37">
        <f t="shared" si="22"/>
        <v>972.52802126851134</v>
      </c>
    </row>
    <row r="63" spans="1:28" x14ac:dyDescent="0.25">
      <c r="A63" s="4" t="s">
        <v>220</v>
      </c>
      <c r="B63" s="37">
        <f t="shared" ref="B63:AB63" si="23">B43*B15*$F$9</f>
        <v>452.68752121991554</v>
      </c>
      <c r="C63" s="37">
        <f t="shared" si="23"/>
        <v>461.72832350687787</v>
      </c>
      <c r="D63" s="37">
        <f t="shared" si="23"/>
        <v>471.86744351300717</v>
      </c>
      <c r="E63" s="37">
        <f t="shared" si="23"/>
        <v>482.9235838335598</v>
      </c>
      <c r="F63" s="37">
        <f t="shared" si="23"/>
        <v>494.1022711058331</v>
      </c>
      <c r="G63" s="37">
        <f t="shared" si="23"/>
        <v>506.11107053027223</v>
      </c>
      <c r="H63" s="37">
        <f t="shared" si="23"/>
        <v>518.49455945051113</v>
      </c>
      <c r="I63" s="37">
        <f t="shared" si="23"/>
        <v>529.48997276256387</v>
      </c>
      <c r="J63" s="37">
        <f t="shared" si="23"/>
        <v>540.72338086062086</v>
      </c>
      <c r="K63" s="37">
        <f t="shared" si="23"/>
        <v>552.77640648723684</v>
      </c>
      <c r="L63" s="37">
        <f t="shared" si="23"/>
        <v>565.11708014137514</v>
      </c>
      <c r="M63" s="37">
        <f t="shared" si="23"/>
        <v>577.91740610646571</v>
      </c>
      <c r="N63" s="37">
        <f t="shared" si="23"/>
        <v>590.92296798990583</v>
      </c>
      <c r="O63" s="37">
        <f t="shared" si="23"/>
        <v>604.18006918034428</v>
      </c>
      <c r="P63" s="37">
        <f t="shared" si="23"/>
        <v>617.84662948059133</v>
      </c>
      <c r="Q63" s="37">
        <f t="shared" si="23"/>
        <v>631.84085987775256</v>
      </c>
      <c r="R63" s="37">
        <f t="shared" si="23"/>
        <v>646.04146514949593</v>
      </c>
      <c r="S63" s="37">
        <f t="shared" si="23"/>
        <v>659.48068522136191</v>
      </c>
      <c r="T63" s="37">
        <f t="shared" si="23"/>
        <v>673.08096578865218</v>
      </c>
      <c r="U63" s="37">
        <f t="shared" si="23"/>
        <v>686.66537063971032</v>
      </c>
      <c r="V63" s="37">
        <f t="shared" si="23"/>
        <v>700.03611923706478</v>
      </c>
      <c r="W63" s="37">
        <f t="shared" si="23"/>
        <v>713.62081102228512</v>
      </c>
      <c r="X63" s="37">
        <f t="shared" si="23"/>
        <v>727.07490342043877</v>
      </c>
      <c r="Y63" s="37">
        <f t="shared" si="23"/>
        <v>740.60482951665756</v>
      </c>
      <c r="Z63" s="37">
        <f t="shared" si="23"/>
        <v>753.92552188303773</v>
      </c>
      <c r="AA63" s="37">
        <f t="shared" si="23"/>
        <v>767.14767534838313</v>
      </c>
      <c r="AB63" s="37">
        <f t="shared" si="23"/>
        <v>780.38704793265197</v>
      </c>
    </row>
    <row r="64" spans="1:28" x14ac:dyDescent="0.25">
      <c r="A64" s="4" t="s">
        <v>221</v>
      </c>
      <c r="B64" s="37">
        <f t="shared" ref="B64:AB64" si="24">B44*B15*$F$10</f>
        <v>968.41351695034291</v>
      </c>
      <c r="C64" s="37">
        <f t="shared" si="24"/>
        <v>1000.4636459265042</v>
      </c>
      <c r="D64" s="37">
        <f t="shared" si="24"/>
        <v>1034.666102749095</v>
      </c>
      <c r="E64" s="37">
        <f t="shared" si="24"/>
        <v>1069.7680727605218</v>
      </c>
      <c r="F64" s="37">
        <f t="shared" si="24"/>
        <v>1105.7880580121168</v>
      </c>
      <c r="G64" s="37">
        <f t="shared" si="24"/>
        <v>1142.868045697707</v>
      </c>
      <c r="H64" s="37">
        <f t="shared" si="24"/>
        <v>1181.3893287265741</v>
      </c>
      <c r="I64" s="37">
        <f t="shared" si="24"/>
        <v>1217.5431633093506</v>
      </c>
      <c r="J64" s="37">
        <f t="shared" si="24"/>
        <v>1254.628855055782</v>
      </c>
      <c r="K64" s="37">
        <f t="shared" si="24"/>
        <v>1292.9355494736344</v>
      </c>
      <c r="L64" s="37">
        <f t="shared" si="24"/>
        <v>1332.6826699859796</v>
      </c>
      <c r="M64" s="37">
        <f t="shared" si="24"/>
        <v>1373.5438355644101</v>
      </c>
      <c r="N64" s="37">
        <f t="shared" si="24"/>
        <v>1415.8763427222009</v>
      </c>
      <c r="O64" s="37">
        <f t="shared" si="24"/>
        <v>1459.4444817625811</v>
      </c>
      <c r="P64" s="37">
        <f t="shared" si="24"/>
        <v>1504.1845753650396</v>
      </c>
      <c r="Q64" s="37">
        <f t="shared" si="24"/>
        <v>1550.1638663816871</v>
      </c>
      <c r="R64" s="37">
        <f t="shared" si="24"/>
        <v>1597.0708215746899</v>
      </c>
      <c r="S64" s="37">
        <f t="shared" si="24"/>
        <v>1642.9749044091075</v>
      </c>
      <c r="T64" s="37">
        <f t="shared" si="24"/>
        <v>1689.6625304478766</v>
      </c>
      <c r="U64" s="37">
        <f t="shared" si="24"/>
        <v>1737.0196182852435</v>
      </c>
      <c r="V64" s="37">
        <f t="shared" si="24"/>
        <v>1784.8138467892443</v>
      </c>
      <c r="W64" s="37">
        <f t="shared" si="24"/>
        <v>1832.798610936389</v>
      </c>
      <c r="X64" s="37">
        <f t="shared" si="24"/>
        <v>1881.1952221463496</v>
      </c>
      <c r="Y64" s="37">
        <f t="shared" si="24"/>
        <v>1929.6243135866839</v>
      </c>
      <c r="Z64" s="37">
        <f t="shared" si="24"/>
        <v>1978.058968361865</v>
      </c>
      <c r="AA64" s="37">
        <f t="shared" si="24"/>
        <v>2026.0542424172872</v>
      </c>
      <c r="AB64" s="37">
        <f t="shared" si="24"/>
        <v>2073.5541565562803</v>
      </c>
    </row>
    <row r="65" spans="1:28" x14ac:dyDescent="0.25">
      <c r="A65" s="4" t="s">
        <v>222</v>
      </c>
      <c r="B65" s="37">
        <f t="shared" ref="B65:AB65" si="25">B45*B15*$F$11</f>
        <v>29062.540771773656</v>
      </c>
      <c r="C65" s="37">
        <f t="shared" si="25"/>
        <v>29442.637595249038</v>
      </c>
      <c r="D65" s="37">
        <f t="shared" si="25"/>
        <v>29862.830360053969</v>
      </c>
      <c r="E65" s="37">
        <f t="shared" si="25"/>
        <v>30289.724890310255</v>
      </c>
      <c r="F65" s="37">
        <f t="shared" si="25"/>
        <v>30729.332195610456</v>
      </c>
      <c r="G65" s="37">
        <f t="shared" si="25"/>
        <v>31182.679065508652</v>
      </c>
      <c r="H65" s="37">
        <f t="shared" si="25"/>
        <v>31649.052933426694</v>
      </c>
      <c r="I65" s="37">
        <f t="shared" si="25"/>
        <v>32025.018053778127</v>
      </c>
      <c r="J65" s="37">
        <f t="shared" si="25"/>
        <v>32406.71490848577</v>
      </c>
      <c r="K65" s="37">
        <f t="shared" si="25"/>
        <v>32788.561039890781</v>
      </c>
      <c r="L65" s="37">
        <f t="shared" si="25"/>
        <v>33168.006477110728</v>
      </c>
      <c r="M65" s="37">
        <f t="shared" si="25"/>
        <v>33544.605784980646</v>
      </c>
      <c r="N65" s="37">
        <f t="shared" si="25"/>
        <v>33911.546086898743</v>
      </c>
      <c r="O65" s="37">
        <f t="shared" si="25"/>
        <v>34265.149111265673</v>
      </c>
      <c r="P65" s="37">
        <f t="shared" si="25"/>
        <v>34602.347261087001</v>
      </c>
      <c r="Q65" s="37">
        <f t="shared" si="25"/>
        <v>34917.413422513171</v>
      </c>
      <c r="R65" s="37">
        <f t="shared" si="25"/>
        <v>35206.843505123099</v>
      </c>
      <c r="S65" s="37">
        <f t="shared" si="25"/>
        <v>35425.812443377989</v>
      </c>
      <c r="T65" s="37">
        <f t="shared" si="25"/>
        <v>35613.152096521466</v>
      </c>
      <c r="U65" s="37">
        <f t="shared" si="25"/>
        <v>35768.578978158643</v>
      </c>
      <c r="V65" s="37">
        <f t="shared" si="25"/>
        <v>35883.38761351203</v>
      </c>
      <c r="W65" s="37">
        <f t="shared" si="25"/>
        <v>35955.538437121817</v>
      </c>
      <c r="X65" s="37">
        <f t="shared" si="25"/>
        <v>35984.475231762597</v>
      </c>
      <c r="Y65" s="37">
        <f t="shared" si="25"/>
        <v>35989.503823935127</v>
      </c>
      <c r="Z65" s="37">
        <f t="shared" si="25"/>
        <v>35954.251711363046</v>
      </c>
      <c r="AA65" s="37">
        <f t="shared" si="25"/>
        <v>35878.121260156164</v>
      </c>
      <c r="AB65" s="37">
        <f t="shared" si="25"/>
        <v>35763.56456580868</v>
      </c>
    </row>
    <row r="67" spans="1:28" x14ac:dyDescent="0.25">
      <c r="A67" s="4" t="s">
        <v>328</v>
      </c>
    </row>
    <row r="68" spans="1:28" x14ac:dyDescent="0.25">
      <c r="A68" s="4" t="s">
        <v>329</v>
      </c>
      <c r="B68" s="40">
        <f t="shared" ref="B68:AB68" si="26">B48+B49</f>
        <v>162.64399295306384</v>
      </c>
      <c r="C68" s="40">
        <f t="shared" si="26"/>
        <v>161.22665306288988</v>
      </c>
      <c r="D68" s="40">
        <f t="shared" si="26"/>
        <v>160.05841886189634</v>
      </c>
      <c r="E68" s="40">
        <f t="shared" si="26"/>
        <v>158.90088502339228</v>
      </c>
      <c r="F68" s="40">
        <f t="shared" si="26"/>
        <v>157.7263409968393</v>
      </c>
      <c r="G68" s="40">
        <f t="shared" si="26"/>
        <v>156.55396318335687</v>
      </c>
      <c r="H68" s="40">
        <f t="shared" si="26"/>
        <v>155.37538165139628</v>
      </c>
      <c r="I68" s="40">
        <f t="shared" si="26"/>
        <v>153.71875018084191</v>
      </c>
      <c r="J68" s="40">
        <f t="shared" si="26"/>
        <v>152.05947522394598</v>
      </c>
      <c r="K68" s="40">
        <f t="shared" si="26"/>
        <v>150.3845624646292</v>
      </c>
      <c r="L68" s="40">
        <f t="shared" si="26"/>
        <v>148.70178572085405</v>
      </c>
      <c r="M68" s="40">
        <f t="shared" si="26"/>
        <v>147.00338907630166</v>
      </c>
      <c r="N68" s="40">
        <f t="shared" si="26"/>
        <v>145.30799274337789</v>
      </c>
      <c r="O68" s="40">
        <f t="shared" si="26"/>
        <v>143.57475245370765</v>
      </c>
      <c r="P68" s="40">
        <f t="shared" si="26"/>
        <v>141.806872509681</v>
      </c>
      <c r="Q68" s="40">
        <f t="shared" si="26"/>
        <v>140.02927102202102</v>
      </c>
      <c r="R68" s="40">
        <f t="shared" si="26"/>
        <v>138.22362202276545</v>
      </c>
      <c r="S68" s="40">
        <f t="shared" si="26"/>
        <v>136.25607638151894</v>
      </c>
      <c r="T68" s="40">
        <f t="shared" si="26"/>
        <v>134.299515842255</v>
      </c>
      <c r="U68" s="40">
        <f t="shared" si="26"/>
        <v>132.37040014486766</v>
      </c>
      <c r="V68" s="40">
        <f t="shared" si="26"/>
        <v>130.48465615049204</v>
      </c>
      <c r="W68" s="40">
        <f t="shared" si="26"/>
        <v>128.63991093527821</v>
      </c>
      <c r="X68" s="40">
        <f t="shared" si="26"/>
        <v>126.88085250872368</v>
      </c>
      <c r="Y68" s="40">
        <f t="shared" si="26"/>
        <v>125.17626011864888</v>
      </c>
      <c r="Z68" s="40">
        <f t="shared" si="26"/>
        <v>123.5249655024748</v>
      </c>
      <c r="AA68" s="40">
        <f t="shared" si="26"/>
        <v>121.92378724776239</v>
      </c>
      <c r="AB68" s="40">
        <f t="shared" si="26"/>
        <v>120.38849286054774</v>
      </c>
    </row>
    <row r="69" spans="1:28" x14ac:dyDescent="0.25">
      <c r="A69" s="4" t="s">
        <v>330</v>
      </c>
      <c r="B69" s="40">
        <f t="shared" ref="B69:AB69" si="27">B50+B51+B52+B53</f>
        <v>141.70514381542679</v>
      </c>
      <c r="C69" s="40">
        <f t="shared" si="27"/>
        <v>140.56190707523129</v>
      </c>
      <c r="D69" s="40">
        <f t="shared" si="27"/>
        <v>139.63849330504621</v>
      </c>
      <c r="E69" s="40">
        <f t="shared" si="27"/>
        <v>138.72107731423299</v>
      </c>
      <c r="F69" s="40">
        <f t="shared" si="27"/>
        <v>137.79744276970348</v>
      </c>
      <c r="G69" s="40">
        <f t="shared" si="27"/>
        <v>136.8791113997089</v>
      </c>
      <c r="H69" s="40">
        <f t="shared" si="27"/>
        <v>135.95220929107424</v>
      </c>
      <c r="I69" s="40">
        <f t="shared" si="27"/>
        <v>134.61029425655374</v>
      </c>
      <c r="J69" s="40">
        <f t="shared" si="27"/>
        <v>133.25019469414775</v>
      </c>
      <c r="K69" s="40">
        <f t="shared" si="27"/>
        <v>131.86034101902692</v>
      </c>
      <c r="L69" s="40">
        <f t="shared" si="27"/>
        <v>130.44585209997393</v>
      </c>
      <c r="M69" s="40">
        <f t="shared" si="27"/>
        <v>128.99204110211667</v>
      </c>
      <c r="N69" s="40">
        <f t="shared" si="27"/>
        <v>127.52226290488922</v>
      </c>
      <c r="O69" s="40">
        <f t="shared" si="27"/>
        <v>125.98622279860949</v>
      </c>
      <c r="P69" s="40">
        <f t="shared" si="27"/>
        <v>124.41421116883329</v>
      </c>
      <c r="Q69" s="40">
        <f t="shared" si="27"/>
        <v>122.80954720862424</v>
      </c>
      <c r="R69" s="40">
        <f t="shared" si="27"/>
        <v>121.16862230693192</v>
      </c>
      <c r="S69" s="40">
        <f t="shared" si="27"/>
        <v>119.37537198909058</v>
      </c>
      <c r="T69" s="40">
        <f t="shared" si="27"/>
        <v>117.58942103431718</v>
      </c>
      <c r="U69" s="40">
        <f t="shared" si="27"/>
        <v>115.83249476741936</v>
      </c>
      <c r="V69" s="40">
        <f t="shared" si="27"/>
        <v>114.10636674343797</v>
      </c>
      <c r="W69" s="40">
        <f t="shared" si="27"/>
        <v>112.42987292152897</v>
      </c>
      <c r="X69" s="40">
        <f t="shared" si="27"/>
        <v>110.83007974644163</v>
      </c>
      <c r="Y69" s="40">
        <f t="shared" si="27"/>
        <v>109.26661859465044</v>
      </c>
      <c r="Z69" s="40">
        <f t="shared" si="27"/>
        <v>107.76099047812914</v>
      </c>
      <c r="AA69" s="40">
        <f t="shared" si="27"/>
        <v>106.30880844631525</v>
      </c>
      <c r="AB69" s="40">
        <f t="shared" si="27"/>
        <v>104.91883677157256</v>
      </c>
    </row>
    <row r="70" spans="1:28" x14ac:dyDescent="0.25">
      <c r="A70" s="4" t="s">
        <v>331</v>
      </c>
      <c r="B70" s="40">
        <f t="shared" ref="B70:AB70" si="28">B54+B55</f>
        <v>158.55048278698649</v>
      </c>
      <c r="C70" s="40">
        <f t="shared" si="28"/>
        <v>156.87659544280234</v>
      </c>
      <c r="D70" s="40">
        <f t="shared" si="28"/>
        <v>155.43013773965563</v>
      </c>
      <c r="E70" s="40">
        <f t="shared" si="28"/>
        <v>153.98547835719148</v>
      </c>
      <c r="F70" s="40">
        <f t="shared" si="28"/>
        <v>152.4965459859564</v>
      </c>
      <c r="G70" s="40">
        <f t="shared" si="28"/>
        <v>151.03505141051954</v>
      </c>
      <c r="H70" s="40">
        <f t="shared" si="28"/>
        <v>149.56965739144817</v>
      </c>
      <c r="I70" s="40">
        <f t="shared" si="28"/>
        <v>147.64772574285621</v>
      </c>
      <c r="J70" s="40">
        <f t="shared" si="28"/>
        <v>145.7334092429868</v>
      </c>
      <c r="K70" s="40">
        <f t="shared" si="28"/>
        <v>143.81028932930008</v>
      </c>
      <c r="L70" s="40">
        <f t="shared" si="28"/>
        <v>141.89612452748722</v>
      </c>
      <c r="M70" s="40">
        <f t="shared" si="28"/>
        <v>139.97974859860159</v>
      </c>
      <c r="N70" s="40">
        <f t="shared" si="28"/>
        <v>138.08229135517911</v>
      </c>
      <c r="O70" s="40">
        <f t="shared" si="28"/>
        <v>136.16010269464388</v>
      </c>
      <c r="P70" s="40">
        <f t="shared" si="28"/>
        <v>134.23352488493953</v>
      </c>
      <c r="Q70" s="40">
        <f t="shared" si="28"/>
        <v>132.31294624069096</v>
      </c>
      <c r="R70" s="40">
        <f t="shared" si="28"/>
        <v>130.39659331560088</v>
      </c>
      <c r="S70" s="40">
        <f t="shared" si="28"/>
        <v>128.32306965584374</v>
      </c>
      <c r="T70" s="40">
        <f t="shared" si="28"/>
        <v>126.28458257161208</v>
      </c>
      <c r="U70" s="40">
        <f t="shared" si="28"/>
        <v>124.30036470047628</v>
      </c>
      <c r="V70" s="40">
        <f t="shared" si="28"/>
        <v>122.36165199965394</v>
      </c>
      <c r="W70" s="40">
        <f t="shared" si="28"/>
        <v>120.50020292980008</v>
      </c>
      <c r="X70" s="40">
        <f t="shared" si="28"/>
        <v>118.69775435390264</v>
      </c>
      <c r="Y70" s="40">
        <f t="shared" si="28"/>
        <v>116.96181127846286</v>
      </c>
      <c r="Z70" s="40">
        <f t="shared" si="28"/>
        <v>115.28325246942676</v>
      </c>
      <c r="AA70" s="40">
        <f t="shared" si="28"/>
        <v>113.65309440326318</v>
      </c>
      <c r="AB70" s="40">
        <f t="shared" si="28"/>
        <v>112.08352988857992</v>
      </c>
    </row>
    <row r="71" spans="1:28" x14ac:dyDescent="0.25">
      <c r="A71" s="4" t="s">
        <v>332</v>
      </c>
      <c r="B71" s="40">
        <f t="shared" ref="B71:AB71" si="29">B58+B59</f>
        <v>27804.530167930152</v>
      </c>
      <c r="C71" s="40">
        <f t="shared" si="29"/>
        <v>28216.720757892013</v>
      </c>
      <c r="D71" s="40">
        <f t="shared" si="29"/>
        <v>28669.283121062701</v>
      </c>
      <c r="E71" s="40">
        <f t="shared" si="29"/>
        <v>29129.84155231934</v>
      </c>
      <c r="F71" s="40">
        <f t="shared" si="29"/>
        <v>29603.659803353592</v>
      </c>
      <c r="G71" s="40">
        <f t="shared" si="29"/>
        <v>30091.983034174831</v>
      </c>
      <c r="H71" s="40">
        <f t="shared" si="29"/>
        <v>30595.103480755402</v>
      </c>
      <c r="I71" s="40">
        <f t="shared" si="29"/>
        <v>31013.166948232021</v>
      </c>
      <c r="J71" s="40">
        <f t="shared" si="29"/>
        <v>31438.377594165861</v>
      </c>
      <c r="K71" s="40">
        <f t="shared" si="29"/>
        <v>31866.62124573224</v>
      </c>
      <c r="L71" s="40">
        <f t="shared" si="29"/>
        <v>32296.201179403328</v>
      </c>
      <c r="M71" s="40">
        <f t="shared" si="29"/>
        <v>32725.92810807583</v>
      </c>
      <c r="N71" s="40">
        <f t="shared" si="29"/>
        <v>33150.757191912591</v>
      </c>
      <c r="O71" s="40">
        <f t="shared" si="29"/>
        <v>33566.92325189097</v>
      </c>
      <c r="P71" s="40">
        <f t="shared" si="29"/>
        <v>33971.569649638441</v>
      </c>
      <c r="Q71" s="40">
        <f t="shared" si="29"/>
        <v>34359.912841399353</v>
      </c>
      <c r="R71" s="40">
        <f t="shared" si="29"/>
        <v>34728.101488610606</v>
      </c>
      <c r="S71" s="40">
        <f t="shared" si="29"/>
        <v>35032.218184099402</v>
      </c>
      <c r="T71" s="40">
        <f t="shared" si="29"/>
        <v>35310.633935983307</v>
      </c>
      <c r="U71" s="40">
        <f t="shared" si="29"/>
        <v>35562.850389865664</v>
      </c>
      <c r="V71" s="40">
        <f t="shared" si="29"/>
        <v>35780.680921606123</v>
      </c>
      <c r="W71" s="40">
        <f t="shared" si="29"/>
        <v>35961.790201139258</v>
      </c>
      <c r="X71" s="40">
        <f t="shared" si="29"/>
        <v>36106.215969153302</v>
      </c>
      <c r="Y71" s="40">
        <f t="shared" si="29"/>
        <v>36229.873447163962</v>
      </c>
      <c r="Z71" s="40">
        <f t="shared" si="29"/>
        <v>36318.405347013322</v>
      </c>
      <c r="AA71" s="40">
        <f t="shared" si="29"/>
        <v>36370.235330279</v>
      </c>
      <c r="AB71" s="40">
        <f t="shared" si="29"/>
        <v>36387.383433172123</v>
      </c>
    </row>
    <row r="72" spans="1:28" x14ac:dyDescent="0.25">
      <c r="A72" s="4" t="s">
        <v>333</v>
      </c>
      <c r="B72" s="40">
        <f t="shared" ref="B72:AB72" si="30">B60+B61+B62+B63</f>
        <v>28841.032398233347</v>
      </c>
      <c r="C72" s="40">
        <f t="shared" si="30"/>
        <v>29266.250066830798</v>
      </c>
      <c r="D72" s="40">
        <f t="shared" si="30"/>
        <v>29732.11477559404</v>
      </c>
      <c r="E72" s="40">
        <f t="shared" si="30"/>
        <v>30205.094803628486</v>
      </c>
      <c r="F72" s="40">
        <f t="shared" si="30"/>
        <v>30690.732508483383</v>
      </c>
      <c r="G72" s="40">
        <f t="shared" si="30"/>
        <v>31189.9396951118</v>
      </c>
      <c r="H72" s="40">
        <f t="shared" si="30"/>
        <v>31703.396440145927</v>
      </c>
      <c r="I72" s="40">
        <f t="shared" si="30"/>
        <v>32127.210578615694</v>
      </c>
      <c r="J72" s="40">
        <f t="shared" si="30"/>
        <v>32557.233921335159</v>
      </c>
      <c r="K72" s="40">
        <f t="shared" si="30"/>
        <v>32988.555540971691</v>
      </c>
      <c r="L72" s="40">
        <f t="shared" si="30"/>
        <v>33419.261550319519</v>
      </c>
      <c r="M72" s="40">
        <f t="shared" si="30"/>
        <v>33848.192781275684</v>
      </c>
      <c r="N72" s="40">
        <f t="shared" si="30"/>
        <v>34269.498832240148</v>
      </c>
      <c r="O72" s="40">
        <f t="shared" si="30"/>
        <v>34679.708257853628</v>
      </c>
      <c r="P72" s="40">
        <f t="shared" si="30"/>
        <v>35075.069782267783</v>
      </c>
      <c r="Q72" s="40">
        <f t="shared" si="30"/>
        <v>35450.844112687759</v>
      </c>
      <c r="R72" s="40">
        <f t="shared" si="30"/>
        <v>35802.76388793088</v>
      </c>
      <c r="S72" s="40">
        <f t="shared" si="30"/>
        <v>36085.439880669386</v>
      </c>
      <c r="T72" s="40">
        <f t="shared" si="30"/>
        <v>36338.706493536956</v>
      </c>
      <c r="U72" s="40">
        <f t="shared" si="30"/>
        <v>36562.284882197142</v>
      </c>
      <c r="V72" s="40">
        <f t="shared" si="30"/>
        <v>36747.004307981006</v>
      </c>
      <c r="W72" s="40">
        <f t="shared" si="30"/>
        <v>36890.523069692506</v>
      </c>
      <c r="X72" s="40">
        <f t="shared" si="30"/>
        <v>36993.279063597613</v>
      </c>
      <c r="Y72" s="40">
        <f t="shared" si="30"/>
        <v>37073.123611914438</v>
      </c>
      <c r="Z72" s="40">
        <f t="shared" si="30"/>
        <v>37114.247537593852</v>
      </c>
      <c r="AA72" s="40">
        <f t="shared" si="30"/>
        <v>37114.70118043539</v>
      </c>
      <c r="AB72" s="40">
        <f t="shared" si="30"/>
        <v>37077.293511053125</v>
      </c>
    </row>
    <row r="73" spans="1:28" x14ac:dyDescent="0.25">
      <c r="A73" s="4" t="s">
        <v>334</v>
      </c>
      <c r="B73" s="40">
        <f t="shared" ref="B73:AB73" si="31">B64+B65</f>
        <v>30030.954288723999</v>
      </c>
      <c r="C73" s="40">
        <f t="shared" si="31"/>
        <v>30443.101241175544</v>
      </c>
      <c r="D73" s="40">
        <f t="shared" si="31"/>
        <v>30897.496462803065</v>
      </c>
      <c r="E73" s="40">
        <f t="shared" si="31"/>
        <v>31359.492963070777</v>
      </c>
      <c r="F73" s="40">
        <f t="shared" si="31"/>
        <v>31835.120253622572</v>
      </c>
      <c r="G73" s="40">
        <f t="shared" si="31"/>
        <v>32325.547111206357</v>
      </c>
      <c r="H73" s="40">
        <f t="shared" si="31"/>
        <v>32830.442262153265</v>
      </c>
      <c r="I73" s="40">
        <f t="shared" si="31"/>
        <v>33242.561217087481</v>
      </c>
      <c r="J73" s="40">
        <f t="shared" si="31"/>
        <v>33661.343763541554</v>
      </c>
      <c r="K73" s="40">
        <f t="shared" si="31"/>
        <v>34081.496589364418</v>
      </c>
      <c r="L73" s="40">
        <f t="shared" si="31"/>
        <v>34500.689147096709</v>
      </c>
      <c r="M73" s="40">
        <f t="shared" si="31"/>
        <v>34918.149620545053</v>
      </c>
      <c r="N73" s="40">
        <f t="shared" si="31"/>
        <v>35327.422429620943</v>
      </c>
      <c r="O73" s="40">
        <f t="shared" si="31"/>
        <v>35724.593593028258</v>
      </c>
      <c r="P73" s="40">
        <f t="shared" si="31"/>
        <v>36106.531836452043</v>
      </c>
      <c r="Q73" s="40">
        <f t="shared" si="31"/>
        <v>36467.577288894856</v>
      </c>
      <c r="R73" s="40">
        <f t="shared" si="31"/>
        <v>36803.914326697792</v>
      </c>
      <c r="S73" s="40">
        <f t="shared" si="31"/>
        <v>37068.787347787096</v>
      </c>
      <c r="T73" s="40">
        <f t="shared" si="31"/>
        <v>37302.814626969339</v>
      </c>
      <c r="U73" s="40">
        <f t="shared" si="31"/>
        <v>37505.598596443888</v>
      </c>
      <c r="V73" s="40">
        <f t="shared" si="31"/>
        <v>37668.201460301272</v>
      </c>
      <c r="W73" s="40">
        <f t="shared" si="31"/>
        <v>37788.337048058209</v>
      </c>
      <c r="X73" s="40">
        <f t="shared" si="31"/>
        <v>37865.670453908948</v>
      </c>
      <c r="Y73" s="40">
        <f t="shared" si="31"/>
        <v>37919.12813752181</v>
      </c>
      <c r="Z73" s="40">
        <f t="shared" si="31"/>
        <v>37932.310679724913</v>
      </c>
      <c r="AA73" s="40">
        <f t="shared" si="31"/>
        <v>37904.175502573453</v>
      </c>
      <c r="AB73" s="40">
        <f t="shared" si="31"/>
        <v>37837.118722364961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91.502888548119316</v>
      </c>
      <c r="C2" s="37">
        <f>BDbDT_calcs!C48</f>
        <v>90.622399166884023</v>
      </c>
      <c r="D2" s="37">
        <f>BDbDT_calcs!D48</f>
        <v>89.877898756955886</v>
      </c>
      <c r="E2" s="37">
        <f>BDbDT_calcs!E48</f>
        <v>89.144794340079386</v>
      </c>
      <c r="F2" s="37">
        <f>BDbDT_calcs!F48</f>
        <v>88.404295474475248</v>
      </c>
      <c r="G2" s="37">
        <f>BDbDT_calcs!G48</f>
        <v>87.656525044418828</v>
      </c>
      <c r="H2" s="37">
        <f>BDbDT_calcs!H48</f>
        <v>86.902052584188581</v>
      </c>
      <c r="I2" s="37">
        <f>BDbDT_calcs!I48</f>
        <v>85.919604053031009</v>
      </c>
      <c r="J2" s="37">
        <f>BDbDT_calcs!J48</f>
        <v>84.890503743610537</v>
      </c>
      <c r="K2" s="37">
        <f>BDbDT_calcs!K48</f>
        <v>83.888858049011219</v>
      </c>
      <c r="L2" s="37">
        <f>BDbDT_calcs!L48</f>
        <v>82.847311019343408</v>
      </c>
      <c r="M2" s="37">
        <f>BDbDT_calcs!M48</f>
        <v>81.832965385015811</v>
      </c>
      <c r="N2" s="37">
        <f>BDbDT_calcs!N48</f>
        <v>80.854956899410169</v>
      </c>
      <c r="O2" s="37">
        <f>BDbDT_calcs!O48</f>
        <v>79.77950666438133</v>
      </c>
      <c r="P2" s="37">
        <f>BDbDT_calcs!P48</f>
        <v>78.74941434979543</v>
      </c>
      <c r="Q2" s="37">
        <f>BDbDT_calcs!Q48</f>
        <v>77.678494250355001</v>
      </c>
      <c r="R2" s="37">
        <f>BDbDT_calcs!R48</f>
        <v>76.613692802561999</v>
      </c>
      <c r="S2" s="37">
        <f>BDbDT_calcs!S48</f>
        <v>75.446774906847708</v>
      </c>
      <c r="T2" s="37">
        <f>BDbDT_calcs!T48</f>
        <v>74.296500612614153</v>
      </c>
      <c r="U2" s="37">
        <f>BDbDT_calcs!U48</f>
        <v>73.161721277333854</v>
      </c>
      <c r="V2" s="37">
        <f>BDbDT_calcs!V48</f>
        <v>72.04109043469208</v>
      </c>
      <c r="W2" s="37">
        <f>BDbDT_calcs!W48</f>
        <v>70.942571865475458</v>
      </c>
      <c r="X2" s="37">
        <f>BDbDT_calcs!X48</f>
        <v>69.93020903291719</v>
      </c>
      <c r="Y2" s="37">
        <f>BDbDT_calcs!Y48</f>
        <v>68.927953091476368</v>
      </c>
      <c r="Z2" s="37">
        <f>BDbDT_calcs!Z48</f>
        <v>67.981211170302487</v>
      </c>
      <c r="AA2" s="37">
        <f>BDbDT_calcs!AA48</f>
        <v>67.051381444831179</v>
      </c>
      <c r="AB2" s="37">
        <f>BDbDT_calcs!AB48</f>
        <v>66.128052198333506</v>
      </c>
    </row>
    <row r="3" spans="1:28" x14ac:dyDescent="0.25">
      <c r="A3" s="4" t="s">
        <v>216</v>
      </c>
      <c r="B3" s="37">
        <f>BDbDT_calcs!B49</f>
        <v>71.141104404944528</v>
      </c>
      <c r="C3" s="37">
        <f>BDbDT_calcs!C49</f>
        <v>70.604253896005858</v>
      </c>
      <c r="D3" s="37">
        <f>BDbDT_calcs!D49</f>
        <v>70.180520104940456</v>
      </c>
      <c r="E3" s="37">
        <f>BDbDT_calcs!E49</f>
        <v>69.756090683312891</v>
      </c>
      <c r="F3" s="37">
        <f>BDbDT_calcs!F49</f>
        <v>69.32204552236405</v>
      </c>
      <c r="G3" s="37">
        <f>BDbDT_calcs!G49</f>
        <v>68.897438138938028</v>
      </c>
      <c r="H3" s="37">
        <f>BDbDT_calcs!H49</f>
        <v>68.4733290672077</v>
      </c>
      <c r="I3" s="37">
        <f>BDbDT_calcs!I49</f>
        <v>67.7991461278109</v>
      </c>
      <c r="J3" s="37">
        <f>BDbDT_calcs!J49</f>
        <v>67.168971480335429</v>
      </c>
      <c r="K3" s="37">
        <f>BDbDT_calcs!K49</f>
        <v>66.495704415617993</v>
      </c>
      <c r="L3" s="37">
        <f>BDbDT_calcs!L49</f>
        <v>65.854474701510625</v>
      </c>
      <c r="M3" s="37">
        <f>BDbDT_calcs!M49</f>
        <v>65.170423691285848</v>
      </c>
      <c r="N3" s="37">
        <f>BDbDT_calcs!N49</f>
        <v>64.453035843967712</v>
      </c>
      <c r="O3" s="37">
        <f>BDbDT_calcs!O49</f>
        <v>63.795245789326323</v>
      </c>
      <c r="P3" s="37">
        <f>BDbDT_calcs!P49</f>
        <v>63.057458159885577</v>
      </c>
      <c r="Q3" s="37">
        <f>BDbDT_calcs!Q49</f>
        <v>62.35077677166602</v>
      </c>
      <c r="R3" s="37">
        <f>BDbDT_calcs!R49</f>
        <v>61.609929220203462</v>
      </c>
      <c r="S3" s="37">
        <f>BDbDT_calcs!S49</f>
        <v>60.80930147467123</v>
      </c>
      <c r="T3" s="37">
        <f>BDbDT_calcs!T49</f>
        <v>60.003015229640859</v>
      </c>
      <c r="U3" s="37">
        <f>BDbDT_calcs!U49</f>
        <v>59.208678867533813</v>
      </c>
      <c r="V3" s="37">
        <f>BDbDT_calcs!V49</f>
        <v>58.443565715799956</v>
      </c>
      <c r="W3" s="37">
        <f>BDbDT_calcs!W49</f>
        <v>57.697339069802759</v>
      </c>
      <c r="X3" s="37">
        <f>BDbDT_calcs!X49</f>
        <v>56.95064347580648</v>
      </c>
      <c r="Y3" s="37">
        <f>BDbDT_calcs!Y49</f>
        <v>56.248307027172508</v>
      </c>
      <c r="Z3" s="37">
        <f>BDbDT_calcs!Z49</f>
        <v>55.543754332172306</v>
      </c>
      <c r="AA3" s="37">
        <f>BDbDT_calcs!AA49</f>
        <v>54.872405802931219</v>
      </c>
      <c r="AB3" s="37">
        <f>BDbDT_calcs!AB49</f>
        <v>54.260440662214236</v>
      </c>
    </row>
    <row r="4" spans="1:28" x14ac:dyDescent="0.25">
      <c r="A4" s="4" t="s">
        <v>217</v>
      </c>
      <c r="B4" s="37">
        <f>BDbDT_calcs!B50</f>
        <v>112.07113237898045</v>
      </c>
      <c r="C4" s="37">
        <f>BDbDT_calcs!C50</f>
        <v>111.09905109560842</v>
      </c>
      <c r="D4" s="37">
        <f>BDbDT_calcs!D50</f>
        <v>110.31663461492553</v>
      </c>
      <c r="E4" s="37">
        <f>BDbDT_calcs!E50</f>
        <v>109.52541817558303</v>
      </c>
      <c r="F4" s="37">
        <f>BDbDT_calcs!F50</f>
        <v>108.73752771287674</v>
      </c>
      <c r="G4" s="37">
        <f>BDbDT_calcs!G50</f>
        <v>107.96448294607072</v>
      </c>
      <c r="H4" s="37">
        <f>BDbDT_calcs!H50</f>
        <v>107.16171618561806</v>
      </c>
      <c r="I4" s="37">
        <f>BDbDT_calcs!I50</f>
        <v>106.0530031867756</v>
      </c>
      <c r="J4" s="37">
        <f>BDbDT_calcs!J50</f>
        <v>104.91302952156026</v>
      </c>
      <c r="K4" s="37">
        <f>BDbDT_calcs!K50</f>
        <v>103.7494551697464</v>
      </c>
      <c r="L4" s="37">
        <f>BDbDT_calcs!L50</f>
        <v>102.55123948159196</v>
      </c>
      <c r="M4" s="37">
        <f>BDbDT_calcs!M50</f>
        <v>101.31851203717675</v>
      </c>
      <c r="N4" s="37">
        <f>BDbDT_calcs!N50</f>
        <v>100.05125232328764</v>
      </c>
      <c r="O4" s="37">
        <f>BDbDT_calcs!O50</f>
        <v>98.715985747124961</v>
      </c>
      <c r="P4" s="37">
        <f>BDbDT_calcs!P50</f>
        <v>97.357112444642752</v>
      </c>
      <c r="Q4" s="37">
        <f>BDbDT_calcs!Q50</f>
        <v>95.962976776564176</v>
      </c>
      <c r="R4" s="37">
        <f>BDbDT_calcs!R50</f>
        <v>94.532933342649471</v>
      </c>
      <c r="S4" s="37">
        <f>BDbDT_calcs!S50</f>
        <v>92.979190557701642</v>
      </c>
      <c r="T4" s="37">
        <f>BDbDT_calcs!T50</f>
        <v>91.446524642351278</v>
      </c>
      <c r="U4" s="37">
        <f>BDbDT_calcs!U50</f>
        <v>89.933467742626235</v>
      </c>
      <c r="V4" s="37">
        <f>BDbDT_calcs!V50</f>
        <v>88.44929159854118</v>
      </c>
      <c r="W4" s="37">
        <f>BDbDT_calcs!W50</f>
        <v>87.014069639503077</v>
      </c>
      <c r="X4" s="37">
        <f>BDbDT_calcs!X50</f>
        <v>85.636830532295932</v>
      </c>
      <c r="Y4" s="37">
        <f>BDbDT_calcs!Y50</f>
        <v>84.294303447150725</v>
      </c>
      <c r="Z4" s="37">
        <f>BDbDT_calcs!Z50</f>
        <v>82.995776003934125</v>
      </c>
      <c r="AA4" s="37">
        <f>BDbDT_calcs!AA50</f>
        <v>81.761410073397471</v>
      </c>
      <c r="AB4" s="37">
        <f>BDbDT_calcs!AB50</f>
        <v>80.56788105314665</v>
      </c>
    </row>
    <row r="5" spans="1:28" x14ac:dyDescent="0.25">
      <c r="A5" s="4" t="s">
        <v>218</v>
      </c>
      <c r="B5" s="37">
        <f>BDbDT_calcs!B51</f>
        <v>15.617191104381941</v>
      </c>
      <c r="C5" s="37">
        <f>BDbDT_calcs!C51</f>
        <v>15.374608348580463</v>
      </c>
      <c r="D5" s="37">
        <f>BDbDT_calcs!D51</f>
        <v>15.160314554651134</v>
      </c>
      <c r="E5" s="37">
        <f>BDbDT_calcs!E51</f>
        <v>14.941366088316579</v>
      </c>
      <c r="F5" s="37">
        <f>BDbDT_calcs!F51</f>
        <v>14.717834517209505</v>
      </c>
      <c r="G5" s="37">
        <f>BDbDT_calcs!G51</f>
        <v>14.496357913108051</v>
      </c>
      <c r="H5" s="37">
        <f>BDbDT_calcs!H51</f>
        <v>14.26700745316468</v>
      </c>
      <c r="I5" s="37">
        <f>BDbDT_calcs!I51</f>
        <v>13.999099561836973</v>
      </c>
      <c r="J5" s="37">
        <f>BDbDT_calcs!J51</f>
        <v>13.735198207300696</v>
      </c>
      <c r="K5" s="37">
        <f>BDbDT_calcs!K51</f>
        <v>13.474710673526188</v>
      </c>
      <c r="L5" s="37">
        <f>BDbDT_calcs!L51</f>
        <v>13.22414227662818</v>
      </c>
      <c r="M5" s="37">
        <f>BDbDT_calcs!M51</f>
        <v>12.986643581543657</v>
      </c>
      <c r="N5" s="37">
        <f>BDbDT_calcs!N51</f>
        <v>12.752224558387647</v>
      </c>
      <c r="O5" s="37">
        <f>BDbDT_calcs!O51</f>
        <v>12.530604076624599</v>
      </c>
      <c r="P5" s="37">
        <f>BDbDT_calcs!P51</f>
        <v>12.311829800427692</v>
      </c>
      <c r="Q5" s="37">
        <f>BDbDT_calcs!Q51</f>
        <v>12.102293769593716</v>
      </c>
      <c r="R5" s="37">
        <f>BDbDT_calcs!R51</f>
        <v>11.898576541476556</v>
      </c>
      <c r="S5" s="37">
        <f>BDbDT_calcs!S51</f>
        <v>11.683558403539273</v>
      </c>
      <c r="T5" s="37">
        <f>BDbDT_calcs!T51</f>
        <v>11.474523195460378</v>
      </c>
      <c r="U5" s="37">
        <f>BDbDT_calcs!U51</f>
        <v>11.268025354953156</v>
      </c>
      <c r="V5" s="37">
        <f>BDbDT_calcs!V51</f>
        <v>11.070291252716038</v>
      </c>
      <c r="W5" s="37">
        <f>BDbDT_calcs!W51</f>
        <v>10.871401893603942</v>
      </c>
      <c r="X5" s="37">
        <f>BDbDT_calcs!X51</f>
        <v>10.680789778697056</v>
      </c>
      <c r="Y5" s="37">
        <f>BDbDT_calcs!Y51</f>
        <v>10.501469685118172</v>
      </c>
      <c r="Z5" s="37">
        <f>BDbDT_calcs!Z51</f>
        <v>10.32360022750046</v>
      </c>
      <c r="AA5" s="37">
        <f>BDbDT_calcs!AA51</f>
        <v>10.153389381770173</v>
      </c>
      <c r="AB5" s="37">
        <f>BDbDT_calcs!AB51</f>
        <v>9.9842572254504773</v>
      </c>
    </row>
    <row r="6" spans="1:28" x14ac:dyDescent="0.25">
      <c r="A6" s="4" t="s">
        <v>219</v>
      </c>
      <c r="B6" s="37">
        <f>BDbDT_calcs!B52</f>
        <v>3.7501408583842886</v>
      </c>
      <c r="C6" s="37">
        <f>BDbDT_calcs!C52</f>
        <v>3.7553275239131878</v>
      </c>
      <c r="D6" s="37">
        <f>BDbDT_calcs!D52</f>
        <v>3.7664428438004647</v>
      </c>
      <c r="E6" s="37">
        <f>BDbDT_calcs!E52</f>
        <v>3.7823401098223566</v>
      </c>
      <c r="F6" s="37">
        <f>BDbDT_calcs!F52</f>
        <v>3.7987153440442452</v>
      </c>
      <c r="G6" s="37">
        <f>BDbDT_calcs!G52</f>
        <v>3.8155920925622211</v>
      </c>
      <c r="H6" s="37">
        <f>BDbDT_calcs!H52</f>
        <v>3.8330151589539496</v>
      </c>
      <c r="I6" s="37">
        <f>BDbDT_calcs!I52</f>
        <v>3.8389547486244009</v>
      </c>
      <c r="J6" s="37">
        <f>BDbDT_calcs!J52</f>
        <v>3.8455371562651082</v>
      </c>
      <c r="K6" s="37">
        <f>BDbDT_calcs!K52</f>
        <v>3.8612496354524493</v>
      </c>
      <c r="L6" s="37">
        <f>BDbDT_calcs!L52</f>
        <v>3.8688696122507755</v>
      </c>
      <c r="M6" s="37">
        <f>BDbDT_calcs!M52</f>
        <v>3.8770440436084481</v>
      </c>
      <c r="N6" s="37">
        <f>BDbDT_calcs!N52</f>
        <v>3.8857846217836549</v>
      </c>
      <c r="O6" s="37">
        <f>BDbDT_calcs!O52</f>
        <v>3.8951035429590473</v>
      </c>
      <c r="P6" s="37">
        <f>BDbDT_calcs!P52</f>
        <v>3.900749976588648</v>
      </c>
      <c r="Q6" s="37">
        <f>BDbDT_calcs!Q52</f>
        <v>3.9112478775763395</v>
      </c>
      <c r="R6" s="37">
        <f>BDbDT_calcs!R52</f>
        <v>3.9138366091168968</v>
      </c>
      <c r="S6" s="37">
        <f>BDbDT_calcs!S52</f>
        <v>3.916661938615297</v>
      </c>
      <c r="T6" s="37">
        <f>BDbDT_calcs!T52</f>
        <v>3.9242653958739151</v>
      </c>
      <c r="U6" s="37">
        <f>BDbDT_calcs!U52</f>
        <v>3.9239434696249029</v>
      </c>
      <c r="V6" s="37">
        <f>BDbDT_calcs!V52</f>
        <v>3.9283244881906692</v>
      </c>
      <c r="W6" s="37">
        <f>BDbDT_calcs!W52</f>
        <v>3.9331333576937162</v>
      </c>
      <c r="X6" s="37">
        <f>BDbDT_calcs!X52</f>
        <v>3.9341275520062871</v>
      </c>
      <c r="Y6" s="37">
        <f>BDbDT_calcs!Y52</f>
        <v>3.9438428787149871</v>
      </c>
      <c r="Z6" s="37">
        <f>BDbDT_calcs!Z52</f>
        <v>3.9454845382163559</v>
      </c>
      <c r="AA6" s="37">
        <f>BDbDT_calcs!AA52</f>
        <v>3.9473792114212212</v>
      </c>
      <c r="AB6" s="37">
        <f>BDbDT_calcs!AB52</f>
        <v>3.9494748985117396</v>
      </c>
    </row>
    <row r="7" spans="1:28" x14ac:dyDescent="0.25">
      <c r="A7" s="4" t="s">
        <v>220</v>
      </c>
      <c r="B7" s="37">
        <f>BDbDT_calcs!B53</f>
        <v>10.266679473680126</v>
      </c>
      <c r="C7" s="37">
        <f>BDbDT_calcs!C53</f>
        <v>10.332920107129201</v>
      </c>
      <c r="D7" s="37">
        <f>BDbDT_calcs!D53</f>
        <v>10.395101291669084</v>
      </c>
      <c r="E7" s="37">
        <f>BDbDT_calcs!E53</f>
        <v>10.471952940511022</v>
      </c>
      <c r="F7" s="37">
        <f>BDbDT_calcs!F53</f>
        <v>10.543365195572999</v>
      </c>
      <c r="G7" s="37">
        <f>BDbDT_calcs!G53</f>
        <v>10.602678447967905</v>
      </c>
      <c r="H7" s="37">
        <f>BDbDT_calcs!H53</f>
        <v>10.690470493337545</v>
      </c>
      <c r="I7" s="37">
        <f>BDbDT_calcs!I53</f>
        <v>10.719236759316759</v>
      </c>
      <c r="J7" s="37">
        <f>BDbDT_calcs!J53</f>
        <v>10.756429809021684</v>
      </c>
      <c r="K7" s="37">
        <f>BDbDT_calcs!K53</f>
        <v>10.774925540301886</v>
      </c>
      <c r="L7" s="37">
        <f>BDbDT_calcs!L53</f>
        <v>10.801600729503011</v>
      </c>
      <c r="M7" s="37">
        <f>BDbDT_calcs!M53</f>
        <v>10.809841439787823</v>
      </c>
      <c r="N7" s="37">
        <f>BDbDT_calcs!N53</f>
        <v>10.833001401430264</v>
      </c>
      <c r="O7" s="37">
        <f>BDbDT_calcs!O53</f>
        <v>10.844529431900876</v>
      </c>
      <c r="P7" s="37">
        <f>BDbDT_calcs!P53</f>
        <v>10.844518947174212</v>
      </c>
      <c r="Q7" s="37">
        <f>BDbDT_calcs!Q53</f>
        <v>10.833028784890002</v>
      </c>
      <c r="R7" s="37">
        <f>BDbDT_calcs!R53</f>
        <v>10.823275813688998</v>
      </c>
      <c r="S7" s="37">
        <f>BDbDT_calcs!S53</f>
        <v>10.795961089234384</v>
      </c>
      <c r="T7" s="37">
        <f>BDbDT_calcs!T53</f>
        <v>10.744107800631609</v>
      </c>
      <c r="U7" s="37">
        <f>BDbDT_calcs!U53</f>
        <v>10.707058200215078</v>
      </c>
      <c r="V7" s="37">
        <f>BDbDT_calcs!V53</f>
        <v>10.65845940399009</v>
      </c>
      <c r="W7" s="37">
        <f>BDbDT_calcs!W53</f>
        <v>10.61126803072823</v>
      </c>
      <c r="X7" s="37">
        <f>BDbDT_calcs!X53</f>
        <v>10.578331883442347</v>
      </c>
      <c r="Y7" s="37">
        <f>BDbDT_calcs!Y53</f>
        <v>10.52700258366656</v>
      </c>
      <c r="Z7" s="37">
        <f>BDbDT_calcs!Z53</f>
        <v>10.496129708478199</v>
      </c>
      <c r="AA7" s="37">
        <f>BDbDT_calcs!AA53</f>
        <v>10.446629779726386</v>
      </c>
      <c r="AB7" s="37">
        <f>BDbDT_calcs!AB53</f>
        <v>10.417223594463687</v>
      </c>
    </row>
    <row r="8" spans="1:28" x14ac:dyDescent="0.25">
      <c r="A8" s="4" t="s">
        <v>221</v>
      </c>
      <c r="B8" s="37">
        <f>BDbDT_calcs!B54</f>
        <v>14.873350868112547</v>
      </c>
      <c r="C8" s="37">
        <f>BDbDT_calcs!C54</f>
        <v>14.904033009043822</v>
      </c>
      <c r="D8" s="37">
        <f>BDbDT_calcs!D54</f>
        <v>14.965942687498343</v>
      </c>
      <c r="E8" s="37">
        <f>BDbDT_calcs!E54</f>
        <v>15.033443074658679</v>
      </c>
      <c r="F8" s="37">
        <f>BDbDT_calcs!F54</f>
        <v>15.114419370313508</v>
      </c>
      <c r="G8" s="37">
        <f>BDbDT_calcs!G54</f>
        <v>15.181948281156393</v>
      </c>
      <c r="H8" s="37">
        <f>BDbDT_calcs!H54</f>
        <v>15.247791683023033</v>
      </c>
      <c r="I8" s="37">
        <f>BDbDT_calcs!I54</f>
        <v>15.264116098601242</v>
      </c>
      <c r="J8" s="37">
        <f>BDbDT_calcs!J54</f>
        <v>15.275364161213874</v>
      </c>
      <c r="K8" s="37">
        <f>BDbDT_calcs!K54</f>
        <v>15.281107625465363</v>
      </c>
      <c r="L8" s="37">
        <f>BDbDT_calcs!L54</f>
        <v>15.277647094179544</v>
      </c>
      <c r="M8" s="37">
        <f>BDbDT_calcs!M54</f>
        <v>15.265110604131454</v>
      </c>
      <c r="N8" s="37">
        <f>BDbDT_calcs!N54</f>
        <v>15.243601644478661</v>
      </c>
      <c r="O8" s="37">
        <f>BDbDT_calcs!O54</f>
        <v>15.213214140716431</v>
      </c>
      <c r="P8" s="37">
        <f>BDbDT_calcs!P54</f>
        <v>15.162654821151754</v>
      </c>
      <c r="Q8" s="37">
        <f>BDbDT_calcs!Q54</f>
        <v>15.103342801840411</v>
      </c>
      <c r="R8" s="37">
        <f>BDbDT_calcs!R54</f>
        <v>15.023946720217872</v>
      </c>
      <c r="S8" s="37">
        <f>BDbDT_calcs!S54</f>
        <v>14.929564925550853</v>
      </c>
      <c r="T8" s="37">
        <f>BDbDT_calcs!T54</f>
        <v>14.822787077932999</v>
      </c>
      <c r="U8" s="37">
        <f>BDbDT_calcs!U54</f>
        <v>14.703548107823471</v>
      </c>
      <c r="V8" s="37">
        <f>BDbDT_calcs!V54</f>
        <v>14.586682008461446</v>
      </c>
      <c r="W8" s="37">
        <f>BDbDT_calcs!W54</f>
        <v>14.453288280994677</v>
      </c>
      <c r="X8" s="37">
        <f>BDbDT_calcs!X54</f>
        <v>14.340479095495155</v>
      </c>
      <c r="Y8" s="37">
        <f>BDbDT_calcs!Y54</f>
        <v>14.225677682235206</v>
      </c>
      <c r="Z8" s="37">
        <f>BDbDT_calcs!Z54</f>
        <v>14.112395427545968</v>
      </c>
      <c r="AA8" s="37">
        <f>BDbDT_calcs!AA54</f>
        <v>14.004120838834101</v>
      </c>
      <c r="AB8" s="37">
        <f>BDbDT_calcs!AB54</f>
        <v>13.904328133772939</v>
      </c>
    </row>
    <row r="9" spans="1:28" x14ac:dyDescent="0.25">
      <c r="A9" s="4" t="s">
        <v>222</v>
      </c>
      <c r="B9" s="37">
        <f>BDbDT_calcs!B55</f>
        <v>143.67713191887395</v>
      </c>
      <c r="C9" s="37">
        <f>BDbDT_calcs!C55</f>
        <v>141.97256243375853</v>
      </c>
      <c r="D9" s="37">
        <f>BDbDT_calcs!D55</f>
        <v>140.46419505215729</v>
      </c>
      <c r="E9" s="37">
        <f>BDbDT_calcs!E55</f>
        <v>138.95203528253279</v>
      </c>
      <c r="F9" s="37">
        <f>BDbDT_calcs!F55</f>
        <v>137.3821266156429</v>
      </c>
      <c r="G9" s="37">
        <f>BDbDT_calcs!G55</f>
        <v>135.85310312936315</v>
      </c>
      <c r="H9" s="37">
        <f>BDbDT_calcs!H55</f>
        <v>134.32186570842515</v>
      </c>
      <c r="I9" s="37">
        <f>BDbDT_calcs!I55</f>
        <v>132.38360964425496</v>
      </c>
      <c r="J9" s="37">
        <f>BDbDT_calcs!J55</f>
        <v>130.45804508177292</v>
      </c>
      <c r="K9" s="37">
        <f>BDbDT_calcs!K55</f>
        <v>128.52918170383472</v>
      </c>
      <c r="L9" s="37">
        <f>BDbDT_calcs!L55</f>
        <v>126.61847743330766</v>
      </c>
      <c r="M9" s="37">
        <f>BDbDT_calcs!M55</f>
        <v>124.71463799447012</v>
      </c>
      <c r="N9" s="37">
        <f>BDbDT_calcs!N55</f>
        <v>122.83868971070045</v>
      </c>
      <c r="O9" s="37">
        <f>BDbDT_calcs!O55</f>
        <v>120.94688855392745</v>
      </c>
      <c r="P9" s="37">
        <f>BDbDT_calcs!P55</f>
        <v>119.07087006378778</v>
      </c>
      <c r="Q9" s="37">
        <f>BDbDT_calcs!Q55</f>
        <v>117.20960343885056</v>
      </c>
      <c r="R9" s="37">
        <f>BDbDT_calcs!R55</f>
        <v>115.37264659538302</v>
      </c>
      <c r="S9" s="37">
        <f>BDbDT_calcs!S55</f>
        <v>113.39350473029288</v>
      </c>
      <c r="T9" s="37">
        <f>BDbDT_calcs!T55</f>
        <v>111.46179549367908</v>
      </c>
      <c r="U9" s="37">
        <f>BDbDT_calcs!U55</f>
        <v>109.59681659265281</v>
      </c>
      <c r="V9" s="37">
        <f>BDbDT_calcs!V55</f>
        <v>107.77496999119249</v>
      </c>
      <c r="W9" s="37">
        <f>BDbDT_calcs!W55</f>
        <v>106.0469146488054</v>
      </c>
      <c r="X9" s="37">
        <f>BDbDT_calcs!X55</f>
        <v>104.35727525840748</v>
      </c>
      <c r="Y9" s="37">
        <f>BDbDT_calcs!Y55</f>
        <v>102.73613359622766</v>
      </c>
      <c r="Z9" s="37">
        <f>BDbDT_calcs!Z55</f>
        <v>101.17085704188079</v>
      </c>
      <c r="AA9" s="37">
        <f>BDbDT_calcs!AA55</f>
        <v>99.648973564429085</v>
      </c>
      <c r="AB9" s="37">
        <f>BDbDT_calcs!AB55</f>
        <v>98.179201754806982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14509.960438861257</v>
      </c>
      <c r="C2" s="37">
        <f>BDbDT_calcs!C58</f>
        <v>14743.32319105597</v>
      </c>
      <c r="D2" s="37">
        <f>BDbDT_calcs!D58</f>
        <v>14997.225182537588</v>
      </c>
      <c r="E2" s="37">
        <f>BDbDT_calcs!E58</f>
        <v>15251.621557709232</v>
      </c>
      <c r="F2" s="37">
        <f>BDbDT_calcs!F58</f>
        <v>15507.830729572892</v>
      </c>
      <c r="G2" s="37">
        <f>BDbDT_calcs!G58</f>
        <v>15766.32353185905</v>
      </c>
      <c r="H2" s="37">
        <f>BDbDT_calcs!H58</f>
        <v>16026.035050341923</v>
      </c>
      <c r="I2" s="37">
        <f>BDbDT_calcs!I58</f>
        <v>16234.950232702591</v>
      </c>
      <c r="J2" s="37">
        <f>BDbDT_calcs!J58</f>
        <v>16440.701756801656</v>
      </c>
      <c r="K2" s="37">
        <f>BDbDT_calcs!K58</f>
        <v>16643.040146033039</v>
      </c>
      <c r="L2" s="37">
        <f>BDbDT_calcs!L58</f>
        <v>16840.597115299104</v>
      </c>
      <c r="M2" s="37">
        <f>BDbDT_calcs!M58</f>
        <v>17033.134390711799</v>
      </c>
      <c r="N2" s="37">
        <f>BDbDT_calcs!N58</f>
        <v>17218.95674182424</v>
      </c>
      <c r="O2" s="37">
        <f>BDbDT_calcs!O58</f>
        <v>17397.465685898518</v>
      </c>
      <c r="P2" s="37">
        <f>BDbDT_calcs!P58</f>
        <v>17566.480900450217</v>
      </c>
      <c r="Q2" s="37">
        <f>BDbDT_calcs!Q58</f>
        <v>17725.700928471266</v>
      </c>
      <c r="R2" s="37">
        <f>BDbDT_calcs!R58</f>
        <v>17872.491532331394</v>
      </c>
      <c r="S2" s="37">
        <f>BDbDT_calcs!S58</f>
        <v>17985.95535348223</v>
      </c>
      <c r="T2" s="37">
        <f>BDbDT_calcs!T58</f>
        <v>18086.05400513878</v>
      </c>
      <c r="U2" s="37">
        <f>BDbDT_calcs!U58</f>
        <v>18173.810008732569</v>
      </c>
      <c r="V2" s="37">
        <f>BDbDT_calcs!V58</f>
        <v>18244.901417478308</v>
      </c>
      <c r="W2" s="37">
        <f>BDbDT_calcs!W58</f>
        <v>18300.447412513811</v>
      </c>
      <c r="X2" s="37">
        <f>BDbDT_calcs!X58</f>
        <v>18339.475561990563</v>
      </c>
      <c r="Y2" s="37">
        <f>BDbDT_calcs!Y58</f>
        <v>18369.574911937671</v>
      </c>
      <c r="Z2" s="37">
        <f>BDbDT_calcs!Z58</f>
        <v>18384.043180458779</v>
      </c>
      <c r="AA2" s="37">
        <f>BDbDT_calcs!AA58</f>
        <v>18384.026055958009</v>
      </c>
      <c r="AB2" s="37">
        <f>BDbDT_calcs!AB58</f>
        <v>18371.196017503</v>
      </c>
    </row>
    <row r="3" spans="1:28" x14ac:dyDescent="0.25">
      <c r="A3" s="4" t="s">
        <v>216</v>
      </c>
      <c r="B3" s="37">
        <f>BDbDT_calcs!B59</f>
        <v>13294.569729068895</v>
      </c>
      <c r="C3" s="37">
        <f>BDbDT_calcs!C59</f>
        <v>13473.397566836042</v>
      </c>
      <c r="D3" s="37">
        <f>BDbDT_calcs!D59</f>
        <v>13672.057938525113</v>
      </c>
      <c r="E3" s="37">
        <f>BDbDT_calcs!E59</f>
        <v>13878.21999461011</v>
      </c>
      <c r="F3" s="37">
        <f>BDbDT_calcs!F59</f>
        <v>14095.8290737807</v>
      </c>
      <c r="G3" s="37">
        <f>BDbDT_calcs!G59</f>
        <v>14325.659502315781</v>
      </c>
      <c r="H3" s="37">
        <f>BDbDT_calcs!H59</f>
        <v>14569.068430413481</v>
      </c>
      <c r="I3" s="37">
        <f>BDbDT_calcs!I59</f>
        <v>14778.21671552943</v>
      </c>
      <c r="J3" s="37">
        <f>BDbDT_calcs!J59</f>
        <v>14997.675837364206</v>
      </c>
      <c r="K3" s="37">
        <f>BDbDT_calcs!K59</f>
        <v>15223.581099699199</v>
      </c>
      <c r="L3" s="37">
        <f>BDbDT_calcs!L59</f>
        <v>15455.604064104224</v>
      </c>
      <c r="M3" s="37">
        <f>BDbDT_calcs!M59</f>
        <v>15692.793717364033</v>
      </c>
      <c r="N3" s="37">
        <f>BDbDT_calcs!N59</f>
        <v>15931.800450088354</v>
      </c>
      <c r="O3" s="37">
        <f>BDbDT_calcs!O59</f>
        <v>16169.457565992452</v>
      </c>
      <c r="P3" s="37">
        <f>BDbDT_calcs!P59</f>
        <v>16405.088749188224</v>
      </c>
      <c r="Q3" s="37">
        <f>BDbDT_calcs!Q59</f>
        <v>16634.211912928087</v>
      </c>
      <c r="R3" s="37">
        <f>BDbDT_calcs!R59</f>
        <v>16855.609956279211</v>
      </c>
      <c r="S3" s="37">
        <f>BDbDT_calcs!S59</f>
        <v>17046.262830617168</v>
      </c>
      <c r="T3" s="37">
        <f>BDbDT_calcs!T59</f>
        <v>17224.579930844528</v>
      </c>
      <c r="U3" s="37">
        <f>BDbDT_calcs!U59</f>
        <v>17389.040381133094</v>
      </c>
      <c r="V3" s="37">
        <f>BDbDT_calcs!V59</f>
        <v>17535.779504127811</v>
      </c>
      <c r="W3" s="37">
        <f>BDbDT_calcs!W59</f>
        <v>17661.342788625443</v>
      </c>
      <c r="X3" s="37">
        <f>BDbDT_calcs!X59</f>
        <v>17766.740407162742</v>
      </c>
      <c r="Y3" s="37">
        <f>BDbDT_calcs!Y59</f>
        <v>17860.298535226295</v>
      </c>
      <c r="Z3" s="37">
        <f>BDbDT_calcs!Z59</f>
        <v>17934.362166554547</v>
      </c>
      <c r="AA3" s="37">
        <f>BDbDT_calcs!AA59</f>
        <v>17986.209274320987</v>
      </c>
      <c r="AB3" s="37">
        <f>BDbDT_calcs!AB59</f>
        <v>18016.187415669123</v>
      </c>
    </row>
    <row r="4" spans="1:28" x14ac:dyDescent="0.25">
      <c r="A4" s="4" t="s">
        <v>217</v>
      </c>
      <c r="B4" s="37">
        <f>BDbDT_calcs!B60</f>
        <v>26650.215150091317</v>
      </c>
      <c r="C4" s="37">
        <f>BDbDT_calcs!C60</f>
        <v>27039.385301108436</v>
      </c>
      <c r="D4" s="37">
        <f>BDbDT_calcs!D60</f>
        <v>27465.043471208555</v>
      </c>
      <c r="E4" s="37">
        <f>BDbDT_calcs!E60</f>
        <v>27895.850847510166</v>
      </c>
      <c r="F4" s="37">
        <f>BDbDT_calcs!F60</f>
        <v>28337.559500411386</v>
      </c>
      <c r="G4" s="37">
        <f>BDbDT_calcs!G60</f>
        <v>28790.339950688736</v>
      </c>
      <c r="H4" s="37">
        <f>BDbDT_calcs!H60</f>
        <v>29255.307142487076</v>
      </c>
      <c r="I4" s="37">
        <f>BDbDT_calcs!I60</f>
        <v>29636.425885961547</v>
      </c>
      <c r="J4" s="37">
        <f>BDbDT_calcs!J60</f>
        <v>30022.339705177292</v>
      </c>
      <c r="K4" s="37">
        <f>BDbDT_calcs!K60</f>
        <v>30407.769843279519</v>
      </c>
      <c r="L4" s="37">
        <f>BDbDT_calcs!L60</f>
        <v>30791.160959455417</v>
      </c>
      <c r="M4" s="37">
        <f>BDbDT_calcs!M60</f>
        <v>31171.382142294777</v>
      </c>
      <c r="N4" s="37">
        <f>BDbDT_calcs!N60</f>
        <v>31542.85605739733</v>
      </c>
      <c r="O4" s="37">
        <f>BDbDT_calcs!O60</f>
        <v>31902.545653498979</v>
      </c>
      <c r="P4" s="37">
        <f>BDbDT_calcs!P60</f>
        <v>32246.445164704968</v>
      </c>
      <c r="Q4" s="37">
        <f>BDbDT_calcs!Q60</f>
        <v>32570.331443469997</v>
      </c>
      <c r="R4" s="37">
        <f>BDbDT_calcs!R60</f>
        <v>32870.16015301273</v>
      </c>
      <c r="S4" s="37">
        <f>BDbDT_calcs!S60</f>
        <v>33104.360518439586</v>
      </c>
      <c r="T4" s="37">
        <f>BDbDT_calcs!T60</f>
        <v>33309.479293155717</v>
      </c>
      <c r="U4" s="37">
        <f>BDbDT_calcs!U60</f>
        <v>33485.568854947924</v>
      </c>
      <c r="V4" s="37">
        <f>BDbDT_calcs!V60</f>
        <v>33623.805538275221</v>
      </c>
      <c r="W4" s="37">
        <f>BDbDT_calcs!W60</f>
        <v>33721.76473980688</v>
      </c>
      <c r="X4" s="37">
        <f>BDbDT_calcs!X60</f>
        <v>33780.25758603352</v>
      </c>
      <c r="Y4" s="37">
        <f>BDbDT_calcs!Y60</f>
        <v>33816.588706796167</v>
      </c>
      <c r="Z4" s="37">
        <f>BDbDT_calcs!Z60</f>
        <v>33815.64597337602</v>
      </c>
      <c r="AA4" s="37">
        <f>BDbDT_calcs!AA60</f>
        <v>33775.393706679555</v>
      </c>
      <c r="AB4" s="37">
        <f>BDbDT_calcs!AB60</f>
        <v>33698.762733470474</v>
      </c>
    </row>
    <row r="5" spans="1:28" x14ac:dyDescent="0.25">
      <c r="A5" s="4" t="s">
        <v>218</v>
      </c>
      <c r="B5" s="37">
        <f>BDbDT_calcs!B61</f>
        <v>1207.3911508283861</v>
      </c>
      <c r="C5" s="37">
        <f>BDbDT_calcs!C61</f>
        <v>1223.0392669405978</v>
      </c>
      <c r="D5" s="37">
        <f>BDbDT_calcs!D61</f>
        <v>1240.5419353698758</v>
      </c>
      <c r="E5" s="37">
        <f>BDbDT_calcs!E61</f>
        <v>1258.2267838725102</v>
      </c>
      <c r="F5" s="37">
        <f>BDbDT_calcs!F61</f>
        <v>1276.5084345814698</v>
      </c>
      <c r="G5" s="37">
        <f>BDbDT_calcs!G61</f>
        <v>1295.4260844219723</v>
      </c>
      <c r="H5" s="37">
        <f>BDbDT_calcs!H61</f>
        <v>1314.9536109130192</v>
      </c>
      <c r="I5" s="37">
        <f>BDbDT_calcs!I61</f>
        <v>1330.9660495027358</v>
      </c>
      <c r="J5" s="37">
        <f>BDbDT_calcs!J61</f>
        <v>1347.4818281747555</v>
      </c>
      <c r="K5" s="37">
        <f>BDbDT_calcs!K61</f>
        <v>1364.4167367990513</v>
      </c>
      <c r="L5" s="37">
        <f>BDbDT_calcs!L61</f>
        <v>1381.7747627801068</v>
      </c>
      <c r="M5" s="37">
        <f>BDbDT_calcs!M61</f>
        <v>1399.4873394871845</v>
      </c>
      <c r="N5" s="37">
        <f>BDbDT_calcs!N61</f>
        <v>1417.62338891484</v>
      </c>
      <c r="O5" s="37">
        <f>BDbDT_calcs!O61</f>
        <v>1435.8267236986555</v>
      </c>
      <c r="P5" s="37">
        <f>BDbDT_calcs!P61</f>
        <v>1454.2581910397016</v>
      </c>
      <c r="Q5" s="37">
        <f>BDbDT_calcs!Q61</f>
        <v>1472.6249627958107</v>
      </c>
      <c r="R5" s="37">
        <f>BDbDT_calcs!R61</f>
        <v>1490.8945689267191</v>
      </c>
      <c r="S5" s="37">
        <f>BDbDT_calcs!S61</f>
        <v>1507.3056059392713</v>
      </c>
      <c r="T5" s="37">
        <f>BDbDT_calcs!T61</f>
        <v>1523.2979956461018</v>
      </c>
      <c r="U5" s="37">
        <f>BDbDT_calcs!U61</f>
        <v>1538.8963194270498</v>
      </c>
      <c r="V5" s="37">
        <f>BDbDT_calcs!V61</f>
        <v>1553.9220184571054</v>
      </c>
      <c r="W5" s="37">
        <f>BDbDT_calcs!W61</f>
        <v>1568.087920484182</v>
      </c>
      <c r="X5" s="37">
        <f>BDbDT_calcs!X61</f>
        <v>1581.2899633455597</v>
      </c>
      <c r="Y5" s="37">
        <f>BDbDT_calcs!Y61</f>
        <v>1593.9281991298592</v>
      </c>
      <c r="Z5" s="37">
        <f>BDbDT_calcs!Z61</f>
        <v>1605.5630448051159</v>
      </c>
      <c r="AA5" s="37">
        <f>BDbDT_calcs!AA61</f>
        <v>1616.1812501039665</v>
      </c>
      <c r="AB5" s="37">
        <f>BDbDT_calcs!AB61</f>
        <v>1625.6157083814926</v>
      </c>
    </row>
    <row r="6" spans="1:28" x14ac:dyDescent="0.25">
      <c r="A6" s="4" t="s">
        <v>219</v>
      </c>
      <c r="B6" s="37">
        <f>BDbDT_calcs!B62</f>
        <v>530.73857609372897</v>
      </c>
      <c r="C6" s="37">
        <f>BDbDT_calcs!C62</f>
        <v>542.09717527488499</v>
      </c>
      <c r="D6" s="37">
        <f>BDbDT_calcs!D62</f>
        <v>554.66192550260166</v>
      </c>
      <c r="E6" s="37">
        <f>BDbDT_calcs!E62</f>
        <v>568.09358841225082</v>
      </c>
      <c r="F6" s="37">
        <f>BDbDT_calcs!F62</f>
        <v>582.56230238469618</v>
      </c>
      <c r="G6" s="37">
        <f>BDbDT_calcs!G62</f>
        <v>598.06258947082199</v>
      </c>
      <c r="H6" s="37">
        <f>BDbDT_calcs!H62</f>
        <v>614.64112729531894</v>
      </c>
      <c r="I6" s="37">
        <f>BDbDT_calcs!I62</f>
        <v>630.3286703888491</v>
      </c>
      <c r="J6" s="37">
        <f>BDbDT_calcs!J62</f>
        <v>646.68900712249012</v>
      </c>
      <c r="K6" s="37">
        <f>BDbDT_calcs!K62</f>
        <v>663.59255440588481</v>
      </c>
      <c r="L6" s="37">
        <f>BDbDT_calcs!L62</f>
        <v>681.20874794261897</v>
      </c>
      <c r="M6" s="37">
        <f>BDbDT_calcs!M62</f>
        <v>699.40589338726136</v>
      </c>
      <c r="N6" s="37">
        <f>BDbDT_calcs!N62</f>
        <v>718.09641793806986</v>
      </c>
      <c r="O6" s="37">
        <f>BDbDT_calcs!O62</f>
        <v>737.15581147564615</v>
      </c>
      <c r="P6" s="37">
        <f>BDbDT_calcs!P62</f>
        <v>756.51979704252176</v>
      </c>
      <c r="Q6" s="37">
        <f>BDbDT_calcs!Q62</f>
        <v>776.04684654419839</v>
      </c>
      <c r="R6" s="37">
        <f>BDbDT_calcs!R62</f>
        <v>795.66770084193286</v>
      </c>
      <c r="S6" s="37">
        <f>BDbDT_calcs!S62</f>
        <v>814.29307106917292</v>
      </c>
      <c r="T6" s="37">
        <f>BDbDT_calcs!T62</f>
        <v>832.84823894649401</v>
      </c>
      <c r="U6" s="37">
        <f>BDbDT_calcs!U62</f>
        <v>851.15433718246038</v>
      </c>
      <c r="V6" s="37">
        <f>BDbDT_calcs!V62</f>
        <v>869.24063201162062</v>
      </c>
      <c r="W6" s="37">
        <f>BDbDT_calcs!W62</f>
        <v>887.04959837915362</v>
      </c>
      <c r="X6" s="37">
        <f>BDbDT_calcs!X62</f>
        <v>904.6566107980891</v>
      </c>
      <c r="Y6" s="37">
        <f>BDbDT_calcs!Y62</f>
        <v>922.00187647176017</v>
      </c>
      <c r="Z6" s="37">
        <f>BDbDT_calcs!Z62</f>
        <v>939.11299752967545</v>
      </c>
      <c r="AA6" s="37">
        <f>BDbDT_calcs!AA62</f>
        <v>955.97854830348456</v>
      </c>
      <c r="AB6" s="37">
        <f>BDbDT_calcs!AB62</f>
        <v>972.52802126851134</v>
      </c>
    </row>
    <row r="7" spans="1:28" x14ac:dyDescent="0.25">
      <c r="A7" s="4" t="s">
        <v>220</v>
      </c>
      <c r="B7" s="37">
        <f>BDbDT_calcs!B63</f>
        <v>452.68752121991554</v>
      </c>
      <c r="C7" s="37">
        <f>BDbDT_calcs!C63</f>
        <v>461.72832350687787</v>
      </c>
      <c r="D7" s="37">
        <f>BDbDT_calcs!D63</f>
        <v>471.86744351300717</v>
      </c>
      <c r="E7" s="37">
        <f>BDbDT_calcs!E63</f>
        <v>482.9235838335598</v>
      </c>
      <c r="F7" s="37">
        <f>BDbDT_calcs!F63</f>
        <v>494.1022711058331</v>
      </c>
      <c r="G7" s="37">
        <f>BDbDT_calcs!G63</f>
        <v>506.11107053027223</v>
      </c>
      <c r="H7" s="37">
        <f>BDbDT_calcs!H63</f>
        <v>518.49455945051113</v>
      </c>
      <c r="I7" s="37">
        <f>BDbDT_calcs!I63</f>
        <v>529.48997276256387</v>
      </c>
      <c r="J7" s="37">
        <f>BDbDT_calcs!J63</f>
        <v>540.72338086062086</v>
      </c>
      <c r="K7" s="37">
        <f>BDbDT_calcs!K63</f>
        <v>552.77640648723684</v>
      </c>
      <c r="L7" s="37">
        <f>BDbDT_calcs!L63</f>
        <v>565.11708014137514</v>
      </c>
      <c r="M7" s="37">
        <f>BDbDT_calcs!M63</f>
        <v>577.91740610646571</v>
      </c>
      <c r="N7" s="37">
        <f>BDbDT_calcs!N63</f>
        <v>590.92296798990583</v>
      </c>
      <c r="O7" s="37">
        <f>BDbDT_calcs!O63</f>
        <v>604.18006918034428</v>
      </c>
      <c r="P7" s="37">
        <f>BDbDT_calcs!P63</f>
        <v>617.84662948059133</v>
      </c>
      <c r="Q7" s="37">
        <f>BDbDT_calcs!Q63</f>
        <v>631.84085987775256</v>
      </c>
      <c r="R7" s="37">
        <f>BDbDT_calcs!R63</f>
        <v>646.04146514949593</v>
      </c>
      <c r="S7" s="37">
        <f>BDbDT_calcs!S63</f>
        <v>659.48068522136191</v>
      </c>
      <c r="T7" s="37">
        <f>BDbDT_calcs!T63</f>
        <v>673.08096578865218</v>
      </c>
      <c r="U7" s="37">
        <f>BDbDT_calcs!U63</f>
        <v>686.66537063971032</v>
      </c>
      <c r="V7" s="37">
        <f>BDbDT_calcs!V63</f>
        <v>700.03611923706478</v>
      </c>
      <c r="W7" s="37">
        <f>BDbDT_calcs!W63</f>
        <v>713.62081102228512</v>
      </c>
      <c r="X7" s="37">
        <f>BDbDT_calcs!X63</f>
        <v>727.07490342043877</v>
      </c>
      <c r="Y7" s="37">
        <f>BDbDT_calcs!Y63</f>
        <v>740.60482951665756</v>
      </c>
      <c r="Z7" s="37">
        <f>BDbDT_calcs!Z63</f>
        <v>753.92552188303773</v>
      </c>
      <c r="AA7" s="37">
        <f>BDbDT_calcs!AA63</f>
        <v>767.14767534838313</v>
      </c>
      <c r="AB7" s="37">
        <f>BDbDT_calcs!AB63</f>
        <v>780.38704793265197</v>
      </c>
    </row>
    <row r="8" spans="1:28" x14ac:dyDescent="0.25">
      <c r="A8" s="4" t="s">
        <v>221</v>
      </c>
      <c r="B8" s="37">
        <f>BDbDT_calcs!B64</f>
        <v>968.41351695034291</v>
      </c>
      <c r="C8" s="37">
        <f>BDbDT_calcs!C64</f>
        <v>1000.4636459265042</v>
      </c>
      <c r="D8" s="37">
        <f>BDbDT_calcs!D64</f>
        <v>1034.666102749095</v>
      </c>
      <c r="E8" s="37">
        <f>BDbDT_calcs!E64</f>
        <v>1069.7680727605218</v>
      </c>
      <c r="F8" s="37">
        <f>BDbDT_calcs!F64</f>
        <v>1105.7880580121168</v>
      </c>
      <c r="G8" s="37">
        <f>BDbDT_calcs!G64</f>
        <v>1142.868045697707</v>
      </c>
      <c r="H8" s="37">
        <f>BDbDT_calcs!H64</f>
        <v>1181.3893287265741</v>
      </c>
      <c r="I8" s="37">
        <f>BDbDT_calcs!I64</f>
        <v>1217.5431633093506</v>
      </c>
      <c r="J8" s="37">
        <f>BDbDT_calcs!J64</f>
        <v>1254.628855055782</v>
      </c>
      <c r="K8" s="37">
        <f>BDbDT_calcs!K64</f>
        <v>1292.9355494736344</v>
      </c>
      <c r="L8" s="37">
        <f>BDbDT_calcs!L64</f>
        <v>1332.6826699859796</v>
      </c>
      <c r="M8" s="37">
        <f>BDbDT_calcs!M64</f>
        <v>1373.5438355644101</v>
      </c>
      <c r="N8" s="37">
        <f>BDbDT_calcs!N64</f>
        <v>1415.8763427222009</v>
      </c>
      <c r="O8" s="37">
        <f>BDbDT_calcs!O64</f>
        <v>1459.4444817625811</v>
      </c>
      <c r="P8" s="37">
        <f>BDbDT_calcs!P64</f>
        <v>1504.1845753650396</v>
      </c>
      <c r="Q8" s="37">
        <f>BDbDT_calcs!Q64</f>
        <v>1550.1638663816871</v>
      </c>
      <c r="R8" s="37">
        <f>BDbDT_calcs!R64</f>
        <v>1597.0708215746899</v>
      </c>
      <c r="S8" s="37">
        <f>BDbDT_calcs!S64</f>
        <v>1642.9749044091075</v>
      </c>
      <c r="T8" s="37">
        <f>BDbDT_calcs!T64</f>
        <v>1689.6625304478766</v>
      </c>
      <c r="U8" s="37">
        <f>BDbDT_calcs!U64</f>
        <v>1737.0196182852435</v>
      </c>
      <c r="V8" s="37">
        <f>BDbDT_calcs!V64</f>
        <v>1784.8138467892443</v>
      </c>
      <c r="W8" s="37">
        <f>BDbDT_calcs!W64</f>
        <v>1832.798610936389</v>
      </c>
      <c r="X8" s="37">
        <f>BDbDT_calcs!X64</f>
        <v>1881.1952221463496</v>
      </c>
      <c r="Y8" s="37">
        <f>BDbDT_calcs!Y64</f>
        <v>1929.6243135866839</v>
      </c>
      <c r="Z8" s="37">
        <f>BDbDT_calcs!Z64</f>
        <v>1978.058968361865</v>
      </c>
      <c r="AA8" s="37">
        <f>BDbDT_calcs!AA64</f>
        <v>2026.0542424172872</v>
      </c>
      <c r="AB8" s="37">
        <f>BDbDT_calcs!AB64</f>
        <v>2073.5541565562803</v>
      </c>
    </row>
    <row r="9" spans="1:28" x14ac:dyDescent="0.25">
      <c r="A9" s="4" t="s">
        <v>222</v>
      </c>
      <c r="B9" s="37">
        <f>BDbDT_calcs!B65</f>
        <v>29062.540771773656</v>
      </c>
      <c r="C9" s="37">
        <f>BDbDT_calcs!C65</f>
        <v>29442.637595249038</v>
      </c>
      <c r="D9" s="37">
        <f>BDbDT_calcs!D65</f>
        <v>29862.830360053969</v>
      </c>
      <c r="E9" s="37">
        <f>BDbDT_calcs!E65</f>
        <v>30289.724890310255</v>
      </c>
      <c r="F9" s="37">
        <f>BDbDT_calcs!F65</f>
        <v>30729.332195610456</v>
      </c>
      <c r="G9" s="37">
        <f>BDbDT_calcs!G65</f>
        <v>31182.679065508652</v>
      </c>
      <c r="H9" s="37">
        <f>BDbDT_calcs!H65</f>
        <v>31649.052933426694</v>
      </c>
      <c r="I9" s="37">
        <f>BDbDT_calcs!I65</f>
        <v>32025.018053778127</v>
      </c>
      <c r="J9" s="37">
        <f>BDbDT_calcs!J65</f>
        <v>32406.71490848577</v>
      </c>
      <c r="K9" s="37">
        <f>BDbDT_calcs!K65</f>
        <v>32788.561039890781</v>
      </c>
      <c r="L9" s="37">
        <f>BDbDT_calcs!L65</f>
        <v>33168.006477110728</v>
      </c>
      <c r="M9" s="37">
        <f>BDbDT_calcs!M65</f>
        <v>33544.605784980646</v>
      </c>
      <c r="N9" s="37">
        <f>BDbDT_calcs!N65</f>
        <v>33911.546086898743</v>
      </c>
      <c r="O9" s="37">
        <f>BDbDT_calcs!O65</f>
        <v>34265.149111265673</v>
      </c>
      <c r="P9" s="37">
        <f>BDbDT_calcs!P65</f>
        <v>34602.347261087001</v>
      </c>
      <c r="Q9" s="37">
        <f>BDbDT_calcs!Q65</f>
        <v>34917.413422513171</v>
      </c>
      <c r="R9" s="37">
        <f>BDbDT_calcs!R65</f>
        <v>35206.843505123099</v>
      </c>
      <c r="S9" s="37">
        <f>BDbDT_calcs!S65</f>
        <v>35425.812443377989</v>
      </c>
      <c r="T9" s="37">
        <f>BDbDT_calcs!T65</f>
        <v>35613.152096521466</v>
      </c>
      <c r="U9" s="37">
        <f>BDbDT_calcs!U65</f>
        <v>35768.578978158643</v>
      </c>
      <c r="V9" s="37">
        <f>BDbDT_calcs!V65</f>
        <v>35883.38761351203</v>
      </c>
      <c r="W9" s="37">
        <f>BDbDT_calcs!W65</f>
        <v>35955.538437121817</v>
      </c>
      <c r="X9" s="37">
        <f>BDbDT_calcs!X65</f>
        <v>35984.475231762597</v>
      </c>
      <c r="Y9" s="37">
        <f>BDbDT_calcs!Y65</f>
        <v>35989.503823935127</v>
      </c>
      <c r="Z9" s="37">
        <f>BDbDT_calcs!Z65</f>
        <v>35954.251711363046</v>
      </c>
      <c r="AA9" s="37">
        <f>BDbDT_calcs!AA65</f>
        <v>35878.121260156164</v>
      </c>
      <c r="AB9" s="37">
        <f>BDbDT_calcs!AB65</f>
        <v>35763.56456580868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2026-08-17T20:28:47Z</dcterms:modified>
</cp:coreProperties>
</file>