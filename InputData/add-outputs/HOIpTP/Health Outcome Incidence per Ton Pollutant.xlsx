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A\add-outputs\HOIpTP\"/>
    </mc:Choice>
  </mc:AlternateContent>
  <xr:revisionPtr revIDLastSave="0" documentId="8_{4DC88E7B-85C3-46F8-BBCE-BC5220CBB75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V3" i="19"/>
  <c r="Q3" i="19"/>
  <c r="E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Q17" i="18"/>
  <c r="I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D15" i="18"/>
  <c r="B15" i="18"/>
  <c r="C15" i="18" s="1"/>
  <c r="AA14" i="18"/>
  <c r="Y14" i="18"/>
  <c r="U14" i="18"/>
  <c r="R14" i="18"/>
  <c r="H14" i="18"/>
  <c r="B14" i="18"/>
  <c r="AB14" i="18" s="1"/>
  <c r="G13" i="18"/>
  <c r="B13" i="18"/>
  <c r="Q13" i="18" s="1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E8" i="18"/>
  <c r="B8" i="18"/>
  <c r="W8" i="18" s="1"/>
  <c r="AB7" i="18"/>
  <c r="AA7" i="18"/>
  <c r="H7" i="18"/>
  <c r="D7" i="18"/>
  <c r="C7" i="18"/>
  <c r="B7" i="18"/>
  <c r="G7" i="18" s="1"/>
  <c r="AA6" i="18"/>
  <c r="X6" i="18"/>
  <c r="P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P3" i="18"/>
  <c r="I3" i="18"/>
  <c r="H3" i="18"/>
  <c r="B3" i="18"/>
  <c r="Z3" i="18" s="1"/>
  <c r="Z2" i="18"/>
  <c r="P2" i="18"/>
  <c r="K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X17" i="17"/>
  <c r="R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R13" i="17"/>
  <c r="D13" i="17"/>
  <c r="B13" i="17"/>
  <c r="W13" i="17" s="1"/>
  <c r="Z12" i="17"/>
  <c r="T12" i="17"/>
  <c r="O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B7" i="17"/>
  <c r="Q6" i="17"/>
  <c r="M6" i="17"/>
  <c r="E6" i="17"/>
  <c r="C6" i="17"/>
  <c r="B6" i="17"/>
  <c r="L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B16" i="16"/>
  <c r="AA15" i="16"/>
  <c r="X15" i="16"/>
  <c r="K15" i="16"/>
  <c r="B15" i="16"/>
  <c r="Y15" i="16" s="1"/>
  <c r="G14" i="16"/>
  <c r="F14" i="16"/>
  <c r="C14" i="16"/>
  <c r="B14" i="16"/>
  <c r="AB14" i="16" s="1"/>
  <c r="X13" i="16"/>
  <c r="W13" i="16"/>
  <c r="J13" i="16"/>
  <c r="D13" i="16"/>
  <c r="B13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B7" i="16"/>
  <c r="T6" i="16"/>
  <c r="S6" i="16"/>
  <c r="N6" i="16"/>
  <c r="M6" i="16"/>
  <c r="E6" i="16"/>
  <c r="B6" i="16"/>
  <c r="W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X3" i="16"/>
  <c r="W3" i="16"/>
  <c r="T3" i="16"/>
  <c r="R3" i="16"/>
  <c r="O3" i="16"/>
  <c r="C3" i="16"/>
  <c r="B3" i="16"/>
  <c r="Z3" i="16" s="1"/>
  <c r="B2" i="16"/>
  <c r="P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S15" i="15"/>
  <c r="K15" i="15"/>
  <c r="I15" i="15"/>
  <c r="E15" i="15"/>
  <c r="C15" i="15"/>
  <c r="B15" i="15"/>
  <c r="G15" i="15" s="1"/>
  <c r="O14" i="15"/>
  <c r="N14" i="15"/>
  <c r="M14" i="15"/>
  <c r="D14" i="15"/>
  <c r="B14" i="15"/>
  <c r="AB14" i="15" s="1"/>
  <c r="W13" i="15"/>
  <c r="V13" i="15"/>
  <c r="T13" i="15"/>
  <c r="S13" i="15"/>
  <c r="R13" i="15"/>
  <c r="Q13" i="15"/>
  <c r="O13" i="15"/>
  <c r="N13" i="15"/>
  <c r="L13" i="15"/>
  <c r="K13" i="15"/>
  <c r="J13" i="15"/>
  <c r="I13" i="15"/>
  <c r="H13" i="15"/>
  <c r="G13" i="15"/>
  <c r="F13" i="15"/>
  <c r="D13" i="15"/>
  <c r="C13" i="15"/>
  <c r="B13" i="15"/>
  <c r="P13" i="15" s="1"/>
  <c r="X12" i="15"/>
  <c r="W12" i="15"/>
  <c r="V12" i="15"/>
  <c r="T12" i="15"/>
  <c r="R12" i="15"/>
  <c r="Q12" i="15"/>
  <c r="P12" i="15"/>
  <c r="N12" i="15"/>
  <c r="M12" i="15"/>
  <c r="L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R8" i="15"/>
  <c r="N8" i="15"/>
  <c r="K8" i="15"/>
  <c r="J8" i="15"/>
  <c r="H8" i="15"/>
  <c r="B8" i="15"/>
  <c r="AB8" i="15" s="1"/>
  <c r="AB7" i="15"/>
  <c r="AA7" i="15"/>
  <c r="D7" i="15"/>
  <c r="B7" i="15"/>
  <c r="AB6" i="15"/>
  <c r="AA6" i="15"/>
  <c r="V6" i="15"/>
  <c r="U6" i="15"/>
  <c r="T6" i="15"/>
  <c r="S6" i="15"/>
  <c r="R6" i="15"/>
  <c r="Q6" i="15"/>
  <c r="P6" i="15"/>
  <c r="O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W3" i="15"/>
  <c r="M3" i="15"/>
  <c r="L3" i="15"/>
  <c r="K3" i="15"/>
  <c r="B3" i="15"/>
  <c r="AA3" i="15" s="1"/>
  <c r="E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B17" i="14"/>
  <c r="C17" i="14" s="1"/>
  <c r="H16" i="14"/>
  <c r="B16" i="14"/>
  <c r="AB15" i="14"/>
  <c r="AA15" i="14"/>
  <c r="Z15" i="14"/>
  <c r="W15" i="14"/>
  <c r="V15" i="14"/>
  <c r="U15" i="14"/>
  <c r="S15" i="14"/>
  <c r="R15" i="14"/>
  <c r="Q15" i="14"/>
  <c r="O15" i="14"/>
  <c r="N15" i="14"/>
  <c r="M15" i="14"/>
  <c r="K15" i="14"/>
  <c r="J15" i="14"/>
  <c r="I15" i="14"/>
  <c r="H15" i="14"/>
  <c r="F15" i="14"/>
  <c r="E15" i="14"/>
  <c r="D15" i="14"/>
  <c r="C15" i="14"/>
  <c r="B15" i="14"/>
  <c r="X15" i="14" s="1"/>
  <c r="AB14" i="14"/>
  <c r="S14" i="14"/>
  <c r="R14" i="14"/>
  <c r="B14" i="14"/>
  <c r="Y14" i="14" s="1"/>
  <c r="X13" i="14"/>
  <c r="S13" i="14"/>
  <c r="B13" i="14"/>
  <c r="F12" i="14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Y7" i="14"/>
  <c r="R7" i="14"/>
  <c r="P7" i="14"/>
  <c r="N7" i="14"/>
  <c r="M7" i="14"/>
  <c r="B7" i="14"/>
  <c r="AA6" i="14"/>
  <c r="X6" i="14"/>
  <c r="W6" i="14"/>
  <c r="T6" i="14"/>
  <c r="R6" i="14"/>
  <c r="Q6" i="14"/>
  <c r="P6" i="14"/>
  <c r="N6" i="14"/>
  <c r="M6" i="14"/>
  <c r="K6" i="14"/>
  <c r="H6" i="14"/>
  <c r="G6" i="14"/>
  <c r="F6" i="14"/>
  <c r="E6" i="14"/>
  <c r="B6" i="14"/>
  <c r="U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Y3" i="14"/>
  <c r="W3" i="14"/>
  <c r="V3" i="14"/>
  <c r="N3" i="14"/>
  <c r="M3" i="14"/>
  <c r="K3" i="14"/>
  <c r="J3" i="14"/>
  <c r="B3" i="14"/>
  <c r="AB2" i="14"/>
  <c r="Z2" i="14"/>
  <c r="X2" i="14"/>
  <c r="V2" i="14"/>
  <c r="U2" i="14"/>
  <c r="O2" i="14"/>
  <c r="M2" i="14"/>
  <c r="L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U16" i="13"/>
  <c r="T16" i="13"/>
  <c r="H16" i="13"/>
  <c r="G16" i="13"/>
  <c r="B16" i="13"/>
  <c r="AA16" i="13" s="1"/>
  <c r="AA15" i="13"/>
  <c r="Z15" i="13"/>
  <c r="Y15" i="13"/>
  <c r="R15" i="13"/>
  <c r="P15" i="13"/>
  <c r="O15" i="13"/>
  <c r="B15" i="13"/>
  <c r="V14" i="13"/>
  <c r="P14" i="13"/>
  <c r="O14" i="13"/>
  <c r="L14" i="13"/>
  <c r="B14" i="13"/>
  <c r="AA14" i="13" s="1"/>
  <c r="B13" i="13"/>
  <c r="S13" i="13" s="1"/>
  <c r="U12" i="13"/>
  <c r="S12" i="13"/>
  <c r="R12" i="13"/>
  <c r="B12" i="13"/>
  <c r="W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C7" i="13"/>
  <c r="B7" i="13"/>
  <c r="Z6" i="13"/>
  <c r="O6" i="13"/>
  <c r="M6" i="13"/>
  <c r="K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V3" i="13"/>
  <c r="N3" i="13"/>
  <c r="M3" i="13"/>
  <c r="L3" i="13"/>
  <c r="I3" i="13"/>
  <c r="F3" i="13"/>
  <c r="E3" i="13"/>
  <c r="C3" i="13"/>
  <c r="B3" i="13"/>
  <c r="Y2" i="13"/>
  <c r="X2" i="13"/>
  <c r="V2" i="13"/>
  <c r="R2" i="13"/>
  <c r="G2" i="13"/>
  <c r="E2" i="13"/>
  <c r="C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O17" i="12"/>
  <c r="B17" i="12"/>
  <c r="G17" i="12" s="1"/>
  <c r="AB16" i="12"/>
  <c r="AA16" i="12"/>
  <c r="Z16" i="12"/>
  <c r="J16" i="12"/>
  <c r="C16" i="12"/>
  <c r="B16" i="12"/>
  <c r="B15" i="12"/>
  <c r="AB14" i="12"/>
  <c r="Y14" i="12"/>
  <c r="V14" i="12"/>
  <c r="K14" i="12"/>
  <c r="B14" i="12"/>
  <c r="B13" i="12"/>
  <c r="AA12" i="12"/>
  <c r="H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X8" i="12"/>
  <c r="W8" i="12"/>
  <c r="V8" i="12"/>
  <c r="S8" i="12"/>
  <c r="R8" i="12"/>
  <c r="Q8" i="12"/>
  <c r="P8" i="12"/>
  <c r="M8" i="12"/>
  <c r="J8" i="12"/>
  <c r="I8" i="12"/>
  <c r="H8" i="12"/>
  <c r="F8" i="12"/>
  <c r="D8" i="12"/>
  <c r="C8" i="12"/>
  <c r="B8" i="12"/>
  <c r="G8" i="12" s="1"/>
  <c r="AA7" i="12"/>
  <c r="Z7" i="12"/>
  <c r="X7" i="12"/>
  <c r="W7" i="12"/>
  <c r="D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Z3" i="12"/>
  <c r="Y3" i="12"/>
  <c r="T3" i="12"/>
  <c r="P3" i="12"/>
  <c r="N3" i="12"/>
  <c r="L3" i="12"/>
  <c r="B3" i="12"/>
  <c r="AA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W15" i="11"/>
  <c r="B15" i="11"/>
  <c r="R15" i="11" s="1"/>
  <c r="J14" i="11"/>
  <c r="I14" i="11"/>
  <c r="H14" i="11"/>
  <c r="B14" i="11"/>
  <c r="F14" i="11" s="1"/>
  <c r="AA13" i="11"/>
  <c r="Z13" i="11"/>
  <c r="Y13" i="11"/>
  <c r="X13" i="11"/>
  <c r="V13" i="11"/>
  <c r="U13" i="11"/>
  <c r="R13" i="11"/>
  <c r="M13" i="11"/>
  <c r="L13" i="11"/>
  <c r="K13" i="11"/>
  <c r="J13" i="11"/>
  <c r="B13" i="11"/>
  <c r="AB13" i="11" s="1"/>
  <c r="AB12" i="11"/>
  <c r="Z12" i="11"/>
  <c r="Y12" i="11"/>
  <c r="X12" i="11"/>
  <c r="U12" i="11"/>
  <c r="O12" i="11"/>
  <c r="L12" i="11"/>
  <c r="K12" i="11"/>
  <c r="J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T8" i="11"/>
  <c r="R8" i="11"/>
  <c r="Q8" i="11"/>
  <c r="P8" i="11"/>
  <c r="O8" i="11"/>
  <c r="N8" i="11"/>
  <c r="K8" i="11"/>
  <c r="J8" i="11"/>
  <c r="I8" i="11"/>
  <c r="D8" i="11"/>
  <c r="B8" i="11"/>
  <c r="B7" i="11"/>
  <c r="AA7" i="11" s="1"/>
  <c r="X6" i="11"/>
  <c r="T6" i="11"/>
  <c r="R6" i="11"/>
  <c r="Q6" i="11"/>
  <c r="P6" i="11"/>
  <c r="L6" i="11"/>
  <c r="K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R3" i="11"/>
  <c r="Q3" i="11"/>
  <c r="P3" i="11"/>
  <c r="L3" i="11"/>
  <c r="K3" i="11"/>
  <c r="J3" i="11"/>
  <c r="I3" i="11"/>
  <c r="H3" i="11"/>
  <c r="E3" i="11"/>
  <c r="D3" i="11"/>
  <c r="C3" i="11"/>
  <c r="B3" i="11"/>
  <c r="U3" i="11" s="1"/>
  <c r="N2" i="11"/>
  <c r="I2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B15" i="10"/>
  <c r="V15" i="10" s="1"/>
  <c r="B14" i="10"/>
  <c r="Y14" i="10" s="1"/>
  <c r="AA13" i="10"/>
  <c r="Z13" i="10"/>
  <c r="P13" i="10"/>
  <c r="M13" i="10"/>
  <c r="H13" i="10"/>
  <c r="D13" i="10"/>
  <c r="B13" i="10"/>
  <c r="B12" i="10"/>
  <c r="C11" i="10"/>
  <c r="B11" i="10"/>
  <c r="B10" i="10"/>
  <c r="B9" i="10"/>
  <c r="AB8" i="10"/>
  <c r="Z8" i="10"/>
  <c r="N8" i="10"/>
  <c r="K8" i="10"/>
  <c r="I8" i="10"/>
  <c r="G8" i="10"/>
  <c r="C8" i="10"/>
  <c r="B8" i="10"/>
  <c r="Q8" i="10" s="1"/>
  <c r="B7" i="10"/>
  <c r="X7" i="10" s="1"/>
  <c r="AA6" i="10"/>
  <c r="R6" i="10"/>
  <c r="O6" i="10"/>
  <c r="L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R17" i="9"/>
  <c r="Q17" i="9"/>
  <c r="P17" i="9"/>
  <c r="M17" i="9"/>
  <c r="K17" i="9"/>
  <c r="J17" i="9"/>
  <c r="B17" i="9"/>
  <c r="AA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Y15" i="9"/>
  <c r="K15" i="9"/>
  <c r="B15" i="9"/>
  <c r="N14" i="9"/>
  <c r="L14" i="9"/>
  <c r="K14" i="9"/>
  <c r="J14" i="9"/>
  <c r="I14" i="9"/>
  <c r="C14" i="9"/>
  <c r="B14" i="9"/>
  <c r="AB14" i="9" s="1"/>
  <c r="AA13" i="9"/>
  <c r="Z13" i="9"/>
  <c r="Y13" i="9"/>
  <c r="X13" i="9"/>
  <c r="W13" i="9"/>
  <c r="S13" i="9"/>
  <c r="Q13" i="9"/>
  <c r="M13" i="9"/>
  <c r="D13" i="9"/>
  <c r="C13" i="9"/>
  <c r="B13" i="9"/>
  <c r="AB12" i="9"/>
  <c r="AA12" i="9"/>
  <c r="Z12" i="9"/>
  <c r="Y12" i="9"/>
  <c r="W12" i="9"/>
  <c r="U12" i="9"/>
  <c r="S12" i="9"/>
  <c r="O12" i="9"/>
  <c r="J12" i="9"/>
  <c r="H12" i="9"/>
  <c r="E12" i="9"/>
  <c r="D12" i="9"/>
  <c r="C12" i="9"/>
  <c r="B12" i="9"/>
  <c r="X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U8" i="9"/>
  <c r="T8" i="9"/>
  <c r="S8" i="9"/>
  <c r="R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AB7" i="9"/>
  <c r="AA7" i="9"/>
  <c r="X7" i="9"/>
  <c r="W7" i="9"/>
  <c r="U7" i="9"/>
  <c r="T7" i="9"/>
  <c r="S7" i="9"/>
  <c r="Q7" i="9"/>
  <c r="P7" i="9"/>
  <c r="N7" i="9"/>
  <c r="M7" i="9"/>
  <c r="L7" i="9"/>
  <c r="F7" i="9"/>
  <c r="D7" i="9"/>
  <c r="C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B3" i="9"/>
  <c r="Y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L15" i="8"/>
  <c r="K15" i="8"/>
  <c r="J15" i="8"/>
  <c r="E15" i="8"/>
  <c r="B15" i="8"/>
  <c r="AA15" i="8" s="1"/>
  <c r="AA14" i="8"/>
  <c r="Y14" i="8"/>
  <c r="W14" i="8"/>
  <c r="V14" i="8"/>
  <c r="U14" i="8"/>
  <c r="T14" i="8"/>
  <c r="S14" i="8"/>
  <c r="R14" i="8"/>
  <c r="Q14" i="8"/>
  <c r="O14" i="8"/>
  <c r="N14" i="8"/>
  <c r="M14" i="8"/>
  <c r="L14" i="8"/>
  <c r="K14" i="8"/>
  <c r="J14" i="8"/>
  <c r="I14" i="8"/>
  <c r="H14" i="8"/>
  <c r="G14" i="8"/>
  <c r="F14" i="8"/>
  <c r="E14" i="8"/>
  <c r="C14" i="8"/>
  <c r="B14" i="8"/>
  <c r="X13" i="8"/>
  <c r="V13" i="8"/>
  <c r="U13" i="8"/>
  <c r="T13" i="8"/>
  <c r="R13" i="8"/>
  <c r="Q13" i="8"/>
  <c r="P13" i="8"/>
  <c r="O13" i="8"/>
  <c r="N13" i="8"/>
  <c r="M13" i="8"/>
  <c r="J13" i="8"/>
  <c r="I13" i="8"/>
  <c r="H13" i="8"/>
  <c r="G13" i="8"/>
  <c r="B13" i="8"/>
  <c r="S13" i="8" s="1"/>
  <c r="R12" i="8"/>
  <c r="Q12" i="8"/>
  <c r="O12" i="8"/>
  <c r="C12" i="8"/>
  <c r="B12" i="8"/>
  <c r="W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W7" i="8"/>
  <c r="U7" i="8"/>
  <c r="T7" i="8"/>
  <c r="S7" i="8"/>
  <c r="Q7" i="8"/>
  <c r="O7" i="8"/>
  <c r="M7" i="8"/>
  <c r="K7" i="8"/>
  <c r="J7" i="8"/>
  <c r="G7" i="8"/>
  <c r="B7" i="8"/>
  <c r="P7" i="8" s="1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R3" i="8"/>
  <c r="Q3" i="8"/>
  <c r="P3" i="8"/>
  <c r="B3" i="8"/>
  <c r="D3" i="8" s="1"/>
  <c r="AA2" i="8"/>
  <c r="Z2" i="8"/>
  <c r="W2" i="8"/>
  <c r="V2" i="8"/>
  <c r="U2" i="8"/>
  <c r="R2" i="8"/>
  <c r="Q2" i="8"/>
  <c r="P2" i="8"/>
  <c r="N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T17" i="7"/>
  <c r="S17" i="7"/>
  <c r="Q17" i="7"/>
  <c r="B17" i="7"/>
  <c r="F17" i="7" s="1"/>
  <c r="N16" i="7"/>
  <c r="M16" i="7"/>
  <c r="L16" i="7"/>
  <c r="J16" i="7"/>
  <c r="H16" i="7"/>
  <c r="G16" i="7"/>
  <c r="B16" i="7"/>
  <c r="AA16" i="7" s="1"/>
  <c r="Y15" i="7"/>
  <c r="H15" i="7"/>
  <c r="G15" i="7"/>
  <c r="B15" i="7"/>
  <c r="W15" i="7" s="1"/>
  <c r="AB14" i="7"/>
  <c r="S14" i="7"/>
  <c r="Q14" i="7"/>
  <c r="O14" i="7"/>
  <c r="N14" i="7"/>
  <c r="M14" i="7"/>
  <c r="L14" i="7"/>
  <c r="J14" i="7"/>
  <c r="I14" i="7"/>
  <c r="H14" i="7"/>
  <c r="F14" i="7"/>
  <c r="B14" i="7"/>
  <c r="AA14" i="7" s="1"/>
  <c r="B13" i="7"/>
  <c r="O13" i="7" s="1"/>
  <c r="AB12" i="7"/>
  <c r="Y12" i="7"/>
  <c r="S12" i="7"/>
  <c r="R12" i="7"/>
  <c r="B12" i="7"/>
  <c r="N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Y8" i="7"/>
  <c r="W8" i="7"/>
  <c r="V8" i="7"/>
  <c r="U8" i="7"/>
  <c r="T8" i="7"/>
  <c r="R8" i="7"/>
  <c r="N8" i="7"/>
  <c r="M8" i="7"/>
  <c r="L8" i="7"/>
  <c r="K8" i="7"/>
  <c r="B8" i="7"/>
  <c r="Z8" i="7" s="1"/>
  <c r="Z7" i="7"/>
  <c r="Y7" i="7"/>
  <c r="W7" i="7"/>
  <c r="V7" i="7"/>
  <c r="U7" i="7"/>
  <c r="S7" i="7"/>
  <c r="P7" i="7"/>
  <c r="O7" i="7"/>
  <c r="N7" i="7"/>
  <c r="M7" i="7"/>
  <c r="B7" i="7"/>
  <c r="I7" i="7" s="1"/>
  <c r="AB6" i="7"/>
  <c r="Z6" i="7"/>
  <c r="X6" i="7"/>
  <c r="W6" i="7"/>
  <c r="V6" i="7"/>
  <c r="U6" i="7"/>
  <c r="S6" i="7"/>
  <c r="Q6" i="7"/>
  <c r="P6" i="7"/>
  <c r="O6" i="7"/>
  <c r="N6" i="7"/>
  <c r="I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V3" i="7"/>
  <c r="T3" i="7"/>
  <c r="S3" i="7"/>
  <c r="B3" i="7"/>
  <c r="O3" i="7" s="1"/>
  <c r="Z2" i="7"/>
  <c r="S2" i="7"/>
  <c r="R2" i="7"/>
  <c r="Q2" i="7"/>
  <c r="P2" i="7"/>
  <c r="N2" i="7"/>
  <c r="M2" i="7"/>
  <c r="K2" i="7"/>
  <c r="I2" i="7"/>
  <c r="H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X17" i="6"/>
  <c r="W17" i="6"/>
  <c r="V17" i="6"/>
  <c r="U17" i="6"/>
  <c r="T17" i="6"/>
  <c r="S17" i="6"/>
  <c r="R17" i="6"/>
  <c r="Q17" i="6"/>
  <c r="P17" i="6"/>
  <c r="K17" i="6"/>
  <c r="J17" i="6"/>
  <c r="H17" i="6"/>
  <c r="G17" i="6"/>
  <c r="B17" i="6"/>
  <c r="Z17" i="6" s="1"/>
  <c r="E16" i="6"/>
  <c r="D16" i="6"/>
  <c r="C16" i="6"/>
  <c r="B16" i="6"/>
  <c r="Y15" i="6"/>
  <c r="W15" i="6"/>
  <c r="V15" i="6"/>
  <c r="U15" i="6"/>
  <c r="O15" i="6"/>
  <c r="N15" i="6"/>
  <c r="B15" i="6"/>
  <c r="AA14" i="6"/>
  <c r="Y14" i="6"/>
  <c r="X14" i="6"/>
  <c r="P14" i="6"/>
  <c r="O14" i="6"/>
  <c r="B14" i="6"/>
  <c r="D14" i="6" s="1"/>
  <c r="Y13" i="6"/>
  <c r="V13" i="6"/>
  <c r="T13" i="6"/>
  <c r="R13" i="6"/>
  <c r="O13" i="6"/>
  <c r="N13" i="6"/>
  <c r="M13" i="6"/>
  <c r="K13" i="6"/>
  <c r="B13" i="6"/>
  <c r="G13" i="6" s="1"/>
  <c r="S12" i="6"/>
  <c r="R12" i="6"/>
  <c r="P12" i="6"/>
  <c r="O12" i="6"/>
  <c r="L12" i="6"/>
  <c r="K12" i="6"/>
  <c r="B12" i="6"/>
  <c r="AB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AB8" i="6" s="1"/>
  <c r="B7" i="6"/>
  <c r="J7" i="6" s="1"/>
  <c r="N6" i="6"/>
  <c r="M6" i="6"/>
  <c r="B6" i="6"/>
  <c r="P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B2" i="6"/>
  <c r="AA2" i="6"/>
  <c r="Z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X17" i="5"/>
  <c r="W17" i="5"/>
  <c r="V17" i="5"/>
  <c r="U17" i="5"/>
  <c r="T17" i="5"/>
  <c r="S17" i="5"/>
  <c r="R17" i="5"/>
  <c r="Q17" i="5"/>
  <c r="P17" i="5"/>
  <c r="L17" i="5"/>
  <c r="K17" i="5"/>
  <c r="J17" i="5"/>
  <c r="D17" i="5"/>
  <c r="B17" i="5"/>
  <c r="O17" i="5" s="1"/>
  <c r="B16" i="5"/>
  <c r="I15" i="5"/>
  <c r="H15" i="5"/>
  <c r="B15" i="5"/>
  <c r="X15" i="5" s="1"/>
  <c r="B14" i="5"/>
  <c r="D14" i="5" s="1"/>
  <c r="J13" i="5"/>
  <c r="I13" i="5"/>
  <c r="B13" i="5"/>
  <c r="AB13" i="5" s="1"/>
  <c r="H12" i="5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X6" i="5"/>
  <c r="W6" i="5"/>
  <c r="R6" i="5"/>
  <c r="M6" i="5"/>
  <c r="K6" i="5"/>
  <c r="J6" i="5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F2" i="5"/>
  <c r="B2" i="5"/>
  <c r="E2" i="5" s="1"/>
  <c r="B2" i="1"/>
  <c r="O6" i="6" l="1"/>
  <c r="L14" i="11"/>
  <c r="X15" i="12"/>
  <c r="P15" i="12"/>
  <c r="L15" i="12"/>
  <c r="H15" i="12"/>
  <c r="E15" i="12"/>
  <c r="AA15" i="12"/>
  <c r="C15" i="12"/>
  <c r="V15" i="12"/>
  <c r="T15" i="12"/>
  <c r="V12" i="13"/>
  <c r="Q14" i="13"/>
  <c r="X2" i="15"/>
  <c r="K2" i="15"/>
  <c r="H2" i="15"/>
  <c r="G2" i="15"/>
  <c r="AB2" i="15"/>
  <c r="C2" i="15"/>
  <c r="Y2" i="15"/>
  <c r="V2" i="15"/>
  <c r="U2" i="15"/>
  <c r="P2" i="15"/>
  <c r="O2" i="15"/>
  <c r="T3" i="15"/>
  <c r="T2" i="16"/>
  <c r="W2" i="10"/>
  <c r="G2" i="10"/>
  <c r="C2" i="10"/>
  <c r="V2" i="10"/>
  <c r="J15" i="5"/>
  <c r="Q2" i="16"/>
  <c r="E13" i="7"/>
  <c r="N3" i="5"/>
  <c r="R13" i="5"/>
  <c r="AB6" i="6"/>
  <c r="T12" i="8"/>
  <c r="H2" i="10"/>
  <c r="F14" i="10"/>
  <c r="G15" i="10"/>
  <c r="G7" i="11"/>
  <c r="M14" i="11"/>
  <c r="D15" i="12"/>
  <c r="Y7" i="13"/>
  <c r="N7" i="13"/>
  <c r="H7" i="13"/>
  <c r="D7" i="13"/>
  <c r="X7" i="13"/>
  <c r="W7" i="13"/>
  <c r="S14" i="13"/>
  <c r="D2" i="15"/>
  <c r="U3" i="15"/>
  <c r="X7" i="15"/>
  <c r="K7" i="15"/>
  <c r="H7" i="15"/>
  <c r="G7" i="15"/>
  <c r="Z7" i="15"/>
  <c r="C7" i="15"/>
  <c r="W7" i="15"/>
  <c r="V7" i="15"/>
  <c r="U7" i="15"/>
  <c r="T7" i="15"/>
  <c r="P7" i="15"/>
  <c r="O7" i="15"/>
  <c r="O8" i="15"/>
  <c r="AA2" i="16"/>
  <c r="N14" i="11"/>
  <c r="Z7" i="16"/>
  <c r="AB7" i="16"/>
  <c r="V7" i="16"/>
  <c r="U7" i="16"/>
  <c r="P7" i="16"/>
  <c r="M7" i="16"/>
  <c r="L7" i="16"/>
  <c r="J7" i="16"/>
  <c r="I7" i="16"/>
  <c r="E7" i="16"/>
  <c r="D7" i="16"/>
  <c r="R17" i="16"/>
  <c r="J17" i="16"/>
  <c r="D17" i="16"/>
  <c r="C17" i="16"/>
  <c r="Z17" i="16"/>
  <c r="Y17" i="16"/>
  <c r="W7" i="17"/>
  <c r="V7" i="17"/>
  <c r="S7" i="17"/>
  <c r="R7" i="17"/>
  <c r="J7" i="17"/>
  <c r="G7" i="17"/>
  <c r="F7" i="17"/>
  <c r="E7" i="17"/>
  <c r="D7" i="17"/>
  <c r="Z7" i="17"/>
  <c r="X15" i="6"/>
  <c r="S15" i="6"/>
  <c r="Q3" i="5"/>
  <c r="M15" i="5"/>
  <c r="C14" i="6"/>
  <c r="J2" i="10"/>
  <c r="T12" i="6"/>
  <c r="D15" i="6"/>
  <c r="AB15" i="6"/>
  <c r="F3" i="7"/>
  <c r="AA7" i="7"/>
  <c r="E12" i="7"/>
  <c r="I13" i="7"/>
  <c r="M15" i="7"/>
  <c r="C17" i="7"/>
  <c r="C3" i="8"/>
  <c r="V12" i="8"/>
  <c r="U15" i="8"/>
  <c r="P14" i="9"/>
  <c r="T17" i="9"/>
  <c r="K2" i="10"/>
  <c r="I14" i="10"/>
  <c r="K15" i="10"/>
  <c r="J7" i="11"/>
  <c r="O14" i="11"/>
  <c r="F6" i="12"/>
  <c r="G15" i="12"/>
  <c r="T17" i="12"/>
  <c r="S2" i="13"/>
  <c r="D2" i="13"/>
  <c r="Z2" i="13"/>
  <c r="U2" i="13"/>
  <c r="P2" i="13"/>
  <c r="N2" i="13"/>
  <c r="I2" i="13"/>
  <c r="H2" i="13"/>
  <c r="E7" i="13"/>
  <c r="F13" i="13"/>
  <c r="W14" i="13"/>
  <c r="F2" i="15"/>
  <c r="E7" i="15"/>
  <c r="Z8" i="15"/>
  <c r="C7" i="16"/>
  <c r="G17" i="16"/>
  <c r="H7" i="17"/>
  <c r="AA7" i="19"/>
  <c r="U7" i="19"/>
  <c r="R7" i="19"/>
  <c r="M7" i="19"/>
  <c r="H7" i="19"/>
  <c r="G7" i="19"/>
  <c r="F7" i="19"/>
  <c r="C7" i="19"/>
  <c r="D14" i="10"/>
  <c r="K15" i="5"/>
  <c r="M15" i="8"/>
  <c r="F7" i="11"/>
  <c r="F13" i="7"/>
  <c r="C15" i="6"/>
  <c r="G14" i="10"/>
  <c r="I7" i="11"/>
  <c r="O2" i="8"/>
  <c r="D2" i="8"/>
  <c r="X12" i="8"/>
  <c r="Y15" i="8"/>
  <c r="R14" i="9"/>
  <c r="U17" i="9"/>
  <c r="L2" i="10"/>
  <c r="J14" i="10"/>
  <c r="L15" i="10"/>
  <c r="K7" i="11"/>
  <c r="Q14" i="11"/>
  <c r="Y7" i="12"/>
  <c r="V7" i="12"/>
  <c r="P7" i="12"/>
  <c r="I15" i="12"/>
  <c r="F7" i="13"/>
  <c r="G13" i="13"/>
  <c r="I2" i="15"/>
  <c r="F7" i="15"/>
  <c r="F7" i="16"/>
  <c r="H17" i="16"/>
  <c r="K7" i="17"/>
  <c r="L7" i="19"/>
  <c r="L3" i="5"/>
  <c r="K13" i="5"/>
  <c r="E2" i="10"/>
  <c r="U14" i="6"/>
  <c r="W14" i="6"/>
  <c r="X13" i="5"/>
  <c r="P15" i="8"/>
  <c r="X8" i="7"/>
  <c r="I8" i="7"/>
  <c r="O15" i="7"/>
  <c r="Y12" i="8"/>
  <c r="S14" i="9"/>
  <c r="M2" i="10"/>
  <c r="K14" i="10"/>
  <c r="M15" i="10"/>
  <c r="R14" i="11"/>
  <c r="J15" i="12"/>
  <c r="G7" i="13"/>
  <c r="M13" i="13"/>
  <c r="X15" i="13"/>
  <c r="H15" i="13"/>
  <c r="AB15" i="13"/>
  <c r="D15" i="13"/>
  <c r="W15" i="13"/>
  <c r="S15" i="13"/>
  <c r="Q15" i="13"/>
  <c r="M15" i="13"/>
  <c r="L15" i="13"/>
  <c r="F17" i="13"/>
  <c r="E17" i="13"/>
  <c r="J2" i="15"/>
  <c r="I7" i="15"/>
  <c r="G7" i="16"/>
  <c r="AB12" i="16"/>
  <c r="W12" i="16"/>
  <c r="K12" i="16"/>
  <c r="U17" i="16"/>
  <c r="O7" i="17"/>
  <c r="D2" i="10"/>
  <c r="C7" i="11"/>
  <c r="J15" i="7"/>
  <c r="F2" i="10"/>
  <c r="J3" i="8"/>
  <c r="E3" i="8"/>
  <c r="U12" i="8"/>
  <c r="S3" i="5"/>
  <c r="U7" i="5"/>
  <c r="Y13" i="5"/>
  <c r="N15" i="5"/>
  <c r="U3" i="5"/>
  <c r="X7" i="5"/>
  <c r="F15" i="6"/>
  <c r="W17" i="9"/>
  <c r="L7" i="11"/>
  <c r="V3" i="5"/>
  <c r="Y7" i="5"/>
  <c r="O14" i="5"/>
  <c r="Q15" i="5"/>
  <c r="E8" i="6"/>
  <c r="W12" i="6"/>
  <c r="H14" i="6"/>
  <c r="G15" i="6"/>
  <c r="J3" i="7"/>
  <c r="D7" i="7"/>
  <c r="C8" i="7"/>
  <c r="H12" i="7"/>
  <c r="M13" i="7"/>
  <c r="R14" i="7"/>
  <c r="P15" i="7"/>
  <c r="F2" i="8"/>
  <c r="H3" i="8"/>
  <c r="Z12" i="8"/>
  <c r="W13" i="8"/>
  <c r="C3" i="9"/>
  <c r="Y7" i="9"/>
  <c r="V7" i="9"/>
  <c r="T14" i="9"/>
  <c r="X17" i="9"/>
  <c r="N2" i="10"/>
  <c r="L14" i="10"/>
  <c r="O15" i="10"/>
  <c r="Q2" i="11"/>
  <c r="M7" i="11"/>
  <c r="T14" i="11"/>
  <c r="E7" i="12"/>
  <c r="K15" i="12"/>
  <c r="F2" i="13"/>
  <c r="I7" i="13"/>
  <c r="N13" i="13"/>
  <c r="C15" i="13"/>
  <c r="C17" i="13"/>
  <c r="L2" i="15"/>
  <c r="J7" i="15"/>
  <c r="H7" i="16"/>
  <c r="C12" i="16"/>
  <c r="V17" i="16"/>
  <c r="P7" i="17"/>
  <c r="M13" i="5"/>
  <c r="I7" i="5"/>
  <c r="P15" i="5"/>
  <c r="D8" i="6"/>
  <c r="V12" i="6"/>
  <c r="F14" i="6"/>
  <c r="G12" i="7"/>
  <c r="C2" i="8"/>
  <c r="R15" i="5"/>
  <c r="V14" i="9"/>
  <c r="P2" i="10"/>
  <c r="N14" i="10"/>
  <c r="P15" i="10"/>
  <c r="N7" i="11"/>
  <c r="V14" i="11"/>
  <c r="F7" i="12"/>
  <c r="M15" i="12"/>
  <c r="L7" i="13"/>
  <c r="O13" i="13"/>
  <c r="E15" i="13"/>
  <c r="Z7" i="14"/>
  <c r="AB7" i="14"/>
  <c r="W7" i="14"/>
  <c r="V7" i="14"/>
  <c r="O7" i="14"/>
  <c r="L7" i="14"/>
  <c r="J7" i="14"/>
  <c r="E7" i="14"/>
  <c r="D7" i="14"/>
  <c r="M2" i="15"/>
  <c r="L7" i="15"/>
  <c r="O7" i="16"/>
  <c r="I12" i="16"/>
  <c r="AB17" i="16"/>
  <c r="T7" i="17"/>
  <c r="O15" i="8"/>
  <c r="AB17" i="7"/>
  <c r="G17" i="7"/>
  <c r="V7" i="5"/>
  <c r="G3" i="7"/>
  <c r="AB7" i="7"/>
  <c r="AA8" i="7"/>
  <c r="F12" i="7"/>
  <c r="N15" i="7"/>
  <c r="D17" i="7"/>
  <c r="E17" i="7"/>
  <c r="G3" i="8"/>
  <c r="I15" i="6"/>
  <c r="N17" i="6"/>
  <c r="L17" i="6"/>
  <c r="AB17" i="6"/>
  <c r="L3" i="7"/>
  <c r="F7" i="7"/>
  <c r="E8" i="7"/>
  <c r="K12" i="7"/>
  <c r="T14" i="7"/>
  <c r="S15" i="7"/>
  <c r="I17" i="7"/>
  <c r="H2" i="8"/>
  <c r="K3" i="8"/>
  <c r="E6" i="8"/>
  <c r="AB12" i="8"/>
  <c r="AA13" i="8"/>
  <c r="G3" i="9"/>
  <c r="W14" i="9"/>
  <c r="U2" i="10"/>
  <c r="O14" i="10"/>
  <c r="Q15" i="10"/>
  <c r="O7" i="11"/>
  <c r="W14" i="11"/>
  <c r="G7" i="12"/>
  <c r="N15" i="12"/>
  <c r="J2" i="13"/>
  <c r="M7" i="13"/>
  <c r="Q13" i="13"/>
  <c r="F15" i="13"/>
  <c r="C7" i="14"/>
  <c r="N2" i="15"/>
  <c r="M7" i="15"/>
  <c r="R7" i="16"/>
  <c r="X12" i="16"/>
  <c r="U7" i="17"/>
  <c r="Z13" i="7"/>
  <c r="R13" i="7"/>
  <c r="M3" i="5"/>
  <c r="S12" i="8"/>
  <c r="E14" i="10"/>
  <c r="T3" i="5"/>
  <c r="Z13" i="5"/>
  <c r="E14" i="6"/>
  <c r="Y6" i="10"/>
  <c r="J6" i="10"/>
  <c r="AB12" i="10"/>
  <c r="Z12" i="10"/>
  <c r="P14" i="10"/>
  <c r="T15" i="10"/>
  <c r="P7" i="11"/>
  <c r="M12" i="11"/>
  <c r="I12" i="11"/>
  <c r="C12" i="11"/>
  <c r="X14" i="11"/>
  <c r="I7" i="12"/>
  <c r="O15" i="12"/>
  <c r="L2" i="13"/>
  <c r="R7" i="13"/>
  <c r="G15" i="13"/>
  <c r="L3" i="14"/>
  <c r="I3" i="14"/>
  <c r="G3" i="14"/>
  <c r="C3" i="14"/>
  <c r="Z3" i="14"/>
  <c r="X3" i="14"/>
  <c r="T3" i="14"/>
  <c r="S3" i="14"/>
  <c r="G7" i="14"/>
  <c r="AB13" i="14"/>
  <c r="R13" i="14"/>
  <c r="Q13" i="14"/>
  <c r="E13" i="14"/>
  <c r="Q2" i="15"/>
  <c r="N7" i="15"/>
  <c r="S7" i="16"/>
  <c r="Y12" i="16"/>
  <c r="Z2" i="17"/>
  <c r="W2" i="17"/>
  <c r="J2" i="17"/>
  <c r="I2" i="17"/>
  <c r="G2" i="17"/>
  <c r="F2" i="17"/>
  <c r="X7" i="17"/>
  <c r="C15" i="10"/>
  <c r="I15" i="7"/>
  <c r="E15" i="10"/>
  <c r="E7" i="11"/>
  <c r="N7" i="5"/>
  <c r="AA15" i="6"/>
  <c r="C12" i="7"/>
  <c r="H13" i="7"/>
  <c r="L15" i="7"/>
  <c r="W13" i="13"/>
  <c r="Z13" i="13"/>
  <c r="U13" i="13"/>
  <c r="R13" i="13"/>
  <c r="P13" i="13"/>
  <c r="K13" i="13"/>
  <c r="H13" i="13"/>
  <c r="O15" i="5"/>
  <c r="C8" i="6"/>
  <c r="U12" i="6"/>
  <c r="E15" i="6"/>
  <c r="G8" i="6"/>
  <c r="Y12" i="6"/>
  <c r="I14" i="6"/>
  <c r="H15" i="6"/>
  <c r="J12" i="7"/>
  <c r="J14" i="6"/>
  <c r="AB7" i="5"/>
  <c r="Y14" i="5"/>
  <c r="T15" i="5"/>
  <c r="Z14" i="5"/>
  <c r="U15" i="5"/>
  <c r="Y17" i="5"/>
  <c r="J8" i="6"/>
  <c r="L14" i="6"/>
  <c r="K15" i="6"/>
  <c r="D17" i="6"/>
  <c r="N3" i="7"/>
  <c r="AA6" i="7"/>
  <c r="K6" i="7"/>
  <c r="G8" i="7"/>
  <c r="M12" i="7"/>
  <c r="S13" i="7"/>
  <c r="X14" i="7"/>
  <c r="U15" i="7"/>
  <c r="K17" i="7"/>
  <c r="K2" i="8"/>
  <c r="M3" i="8"/>
  <c r="O6" i="8"/>
  <c r="C13" i="8"/>
  <c r="X14" i="8"/>
  <c r="P14" i="8"/>
  <c r="Z14" i="8"/>
  <c r="O3" i="9"/>
  <c r="G7" i="9"/>
  <c r="Z14" i="9"/>
  <c r="Y2" i="10"/>
  <c r="C6" i="10"/>
  <c r="G12" i="10"/>
  <c r="R14" i="10"/>
  <c r="U15" i="10"/>
  <c r="S7" i="11"/>
  <c r="E12" i="11"/>
  <c r="AB14" i="11"/>
  <c r="J7" i="12"/>
  <c r="AB12" i="12"/>
  <c r="C12" i="12"/>
  <c r="Q15" i="12"/>
  <c r="M2" i="13"/>
  <c r="S7" i="13"/>
  <c r="T13" i="13"/>
  <c r="I15" i="13"/>
  <c r="D3" i="14"/>
  <c r="H7" i="14"/>
  <c r="G13" i="14"/>
  <c r="R2" i="15"/>
  <c r="Q7" i="15"/>
  <c r="T7" i="16"/>
  <c r="L2" i="17"/>
  <c r="Y7" i="17"/>
  <c r="F15" i="10"/>
  <c r="L15" i="5"/>
  <c r="Z15" i="6"/>
  <c r="K15" i="7"/>
  <c r="O14" i="9"/>
  <c r="H15" i="10"/>
  <c r="G7" i="7"/>
  <c r="L7" i="7"/>
  <c r="J13" i="7"/>
  <c r="H3" i="7"/>
  <c r="C7" i="7"/>
  <c r="AB8" i="7"/>
  <c r="K13" i="7"/>
  <c r="Z7" i="5"/>
  <c r="V14" i="5"/>
  <c r="K3" i="7"/>
  <c r="E7" i="7"/>
  <c r="D8" i="7"/>
  <c r="N13" i="7"/>
  <c r="Q15" i="7"/>
  <c r="H17" i="7"/>
  <c r="G2" i="8"/>
  <c r="I3" i="8"/>
  <c r="AA12" i="8"/>
  <c r="AB13" i="6"/>
  <c r="S13" i="6"/>
  <c r="K3" i="9"/>
  <c r="Y14" i="9"/>
  <c r="X2" i="10"/>
  <c r="V15" i="5"/>
  <c r="U8" i="6"/>
  <c r="H13" i="6"/>
  <c r="M14" i="6"/>
  <c r="L15" i="6"/>
  <c r="E17" i="6"/>
  <c r="Y2" i="7"/>
  <c r="L2" i="7"/>
  <c r="F6" i="7"/>
  <c r="J7" i="7"/>
  <c r="H8" i="7"/>
  <c r="O12" i="7"/>
  <c r="T13" i="7"/>
  <c r="Y14" i="7"/>
  <c r="V15" i="7"/>
  <c r="L17" i="7"/>
  <c r="L2" i="8"/>
  <c r="N3" i="8"/>
  <c r="P6" i="8"/>
  <c r="E13" i="8"/>
  <c r="S3" i="9"/>
  <c r="I7" i="9"/>
  <c r="AA14" i="9"/>
  <c r="Z2" i="10"/>
  <c r="E6" i="10"/>
  <c r="AA12" i="10"/>
  <c r="S14" i="10"/>
  <c r="T7" i="11"/>
  <c r="F12" i="11"/>
  <c r="K7" i="12"/>
  <c r="R15" i="12"/>
  <c r="O2" i="13"/>
  <c r="U7" i="13"/>
  <c r="V13" i="13"/>
  <c r="J15" i="13"/>
  <c r="E3" i="14"/>
  <c r="I7" i="14"/>
  <c r="K13" i="14"/>
  <c r="S2" i="15"/>
  <c r="R7" i="15"/>
  <c r="X7" i="16"/>
  <c r="X15" i="10"/>
  <c r="R15" i="10"/>
  <c r="N15" i="10"/>
  <c r="I15" i="10"/>
  <c r="D15" i="10"/>
  <c r="AA6" i="6"/>
  <c r="AB14" i="6"/>
  <c r="X3" i="7"/>
  <c r="U3" i="7"/>
  <c r="F15" i="12"/>
  <c r="F3" i="9"/>
  <c r="AA7" i="5"/>
  <c r="W14" i="5"/>
  <c r="S15" i="5"/>
  <c r="H8" i="6"/>
  <c r="I8" i="6"/>
  <c r="K14" i="6"/>
  <c r="J15" i="6"/>
  <c r="C17" i="6"/>
  <c r="M3" i="7"/>
  <c r="H7" i="7"/>
  <c r="F8" i="7"/>
  <c r="L12" i="7"/>
  <c r="Q13" i="7"/>
  <c r="V14" i="7"/>
  <c r="T15" i="7"/>
  <c r="J17" i="7"/>
  <c r="I2" i="8"/>
  <c r="L3" i="8"/>
  <c r="F6" i="8"/>
  <c r="AB13" i="8"/>
  <c r="AA14" i="5"/>
  <c r="AB14" i="5"/>
  <c r="W15" i="5"/>
  <c r="I13" i="6"/>
  <c r="N14" i="6"/>
  <c r="M15" i="6"/>
  <c r="F17" i="6"/>
  <c r="G2" i="7"/>
  <c r="P3" i="7"/>
  <c r="H6" i="7"/>
  <c r="K7" i="7"/>
  <c r="J8" i="7"/>
  <c r="P12" i="7"/>
  <c r="V13" i="7"/>
  <c r="M17" i="7"/>
  <c r="M2" i="8"/>
  <c r="O3" i="8"/>
  <c r="F13" i="8"/>
  <c r="D14" i="8"/>
  <c r="AB14" i="8"/>
  <c r="J7" i="9"/>
  <c r="AA2" i="10"/>
  <c r="H6" i="10"/>
  <c r="Y13" i="10"/>
  <c r="F13" i="10"/>
  <c r="T14" i="10"/>
  <c r="W15" i="10"/>
  <c r="U7" i="11"/>
  <c r="G12" i="11"/>
  <c r="S7" i="12"/>
  <c r="Z12" i="12"/>
  <c r="S15" i="12"/>
  <c r="Q2" i="13"/>
  <c r="Z7" i="13"/>
  <c r="X13" i="13"/>
  <c r="K15" i="13"/>
  <c r="F3" i="14"/>
  <c r="K7" i="14"/>
  <c r="N13" i="14"/>
  <c r="Z2" i="15"/>
  <c r="S7" i="15"/>
  <c r="Y7" i="16"/>
  <c r="Y15" i="5"/>
  <c r="Z15" i="8"/>
  <c r="N15" i="8"/>
  <c r="X14" i="9"/>
  <c r="U14" i="9"/>
  <c r="Q14" i="9"/>
  <c r="M14" i="9"/>
  <c r="H14" i="9"/>
  <c r="AA15" i="9"/>
  <c r="M15" i="9"/>
  <c r="V14" i="10"/>
  <c r="Y15" i="10"/>
  <c r="V7" i="11"/>
  <c r="W15" i="12"/>
  <c r="AA7" i="13"/>
  <c r="Y13" i="13"/>
  <c r="N15" i="13"/>
  <c r="AA2" i="15"/>
  <c r="Y7" i="15"/>
  <c r="X15" i="7"/>
  <c r="R15" i="7"/>
  <c r="Z15" i="7"/>
  <c r="X7" i="11"/>
  <c r="Y15" i="12"/>
  <c r="AB12" i="13"/>
  <c r="X12" i="13"/>
  <c r="T12" i="13"/>
  <c r="M12" i="13"/>
  <c r="I12" i="13"/>
  <c r="D12" i="13"/>
  <c r="U14" i="13"/>
  <c r="H14" i="13"/>
  <c r="Y14" i="13"/>
  <c r="T14" i="13"/>
  <c r="R14" i="13"/>
  <c r="N14" i="13"/>
  <c r="M14" i="13"/>
  <c r="P3" i="15"/>
  <c r="J3" i="15"/>
  <c r="F3" i="15"/>
  <c r="E3" i="15"/>
  <c r="Z3" i="15"/>
  <c r="Y3" i="15"/>
  <c r="X3" i="15"/>
  <c r="Q3" i="15"/>
  <c r="N3" i="15"/>
  <c r="D15" i="5"/>
  <c r="I6" i="6"/>
  <c r="F15" i="8"/>
  <c r="AA15" i="10"/>
  <c r="Z7" i="11"/>
  <c r="C14" i="11"/>
  <c r="U3" i="12"/>
  <c r="M3" i="12"/>
  <c r="J3" i="12"/>
  <c r="G3" i="12"/>
  <c r="L14" i="12"/>
  <c r="X14" i="12"/>
  <c r="W14" i="12"/>
  <c r="Z15" i="12"/>
  <c r="H12" i="13"/>
  <c r="E14" i="13"/>
  <c r="C3" i="15"/>
  <c r="Z6" i="16"/>
  <c r="V6" i="16"/>
  <c r="Q6" i="16"/>
  <c r="O6" i="16"/>
  <c r="K6" i="16"/>
  <c r="I6" i="16"/>
  <c r="H6" i="16"/>
  <c r="G6" i="16"/>
  <c r="F6" i="16"/>
  <c r="X12" i="17"/>
  <c r="J12" i="17"/>
  <c r="I12" i="17"/>
  <c r="H12" i="17"/>
  <c r="F12" i="17"/>
  <c r="E12" i="17"/>
  <c r="C12" i="17"/>
  <c r="AB12" i="17"/>
  <c r="Y12" i="17"/>
  <c r="W12" i="17"/>
  <c r="V12" i="17"/>
  <c r="U12" i="17"/>
  <c r="S12" i="17"/>
  <c r="R12" i="17"/>
  <c r="Q12" i="17"/>
  <c r="P12" i="17"/>
  <c r="X14" i="10"/>
  <c r="U14" i="10"/>
  <c r="Q14" i="10"/>
  <c r="M14" i="10"/>
  <c r="H14" i="10"/>
  <c r="C15" i="5"/>
  <c r="C15" i="7"/>
  <c r="D14" i="9"/>
  <c r="Z17" i="9"/>
  <c r="S17" i="9"/>
  <c r="O17" i="9"/>
  <c r="G17" i="9"/>
  <c r="D3" i="15"/>
  <c r="G8" i="15"/>
  <c r="D8" i="15"/>
  <c r="C8" i="15"/>
  <c r="AA8" i="15"/>
  <c r="Y8" i="15"/>
  <c r="X8" i="15"/>
  <c r="W8" i="15"/>
  <c r="T8" i="15"/>
  <c r="M8" i="15"/>
  <c r="L8" i="15"/>
  <c r="D12" i="17"/>
  <c r="W13" i="7"/>
  <c r="Z15" i="5"/>
  <c r="E6" i="6"/>
  <c r="X13" i="7"/>
  <c r="W14" i="10"/>
  <c r="Z15" i="10"/>
  <c r="AA15" i="5"/>
  <c r="T12" i="7"/>
  <c r="AA13" i="7"/>
  <c r="AA15" i="7"/>
  <c r="D12" i="8"/>
  <c r="C2" i="5"/>
  <c r="F13" i="5"/>
  <c r="E15" i="5"/>
  <c r="AB15" i="5"/>
  <c r="J6" i="6"/>
  <c r="R14" i="6"/>
  <c r="S3" i="8"/>
  <c r="G15" i="8"/>
  <c r="J12" i="13"/>
  <c r="D2" i="5"/>
  <c r="G13" i="5"/>
  <c r="F15" i="5"/>
  <c r="Z14" i="7"/>
  <c r="U14" i="7"/>
  <c r="H12" i="8"/>
  <c r="H15" i="8"/>
  <c r="F14" i="9"/>
  <c r="E17" i="9"/>
  <c r="AA14" i="10"/>
  <c r="AB8" i="11"/>
  <c r="E8" i="11"/>
  <c r="S8" i="11"/>
  <c r="P12" i="11"/>
  <c r="I3" i="12"/>
  <c r="AB7" i="12"/>
  <c r="Q14" i="12"/>
  <c r="AB2" i="13"/>
  <c r="AB6" i="13"/>
  <c r="AA6" i="13"/>
  <c r="P6" i="13"/>
  <c r="J6" i="13"/>
  <c r="H6" i="13"/>
  <c r="L12" i="13"/>
  <c r="J14" i="13"/>
  <c r="T15" i="13"/>
  <c r="P3" i="14"/>
  <c r="S7" i="14"/>
  <c r="G3" i="15"/>
  <c r="E8" i="15"/>
  <c r="J6" i="16"/>
  <c r="G12" i="17"/>
  <c r="Q7" i="11"/>
  <c r="H7" i="11"/>
  <c r="AB7" i="11"/>
  <c r="D7" i="11"/>
  <c r="W7" i="11"/>
  <c r="R7" i="11"/>
  <c r="AB2" i="16"/>
  <c r="Y2" i="16"/>
  <c r="X2" i="16"/>
  <c r="W2" i="16"/>
  <c r="U2" i="16"/>
  <c r="K2" i="16"/>
  <c r="D2" i="16"/>
  <c r="C14" i="10"/>
  <c r="S14" i="11"/>
  <c r="AA14" i="11"/>
  <c r="U14" i="11"/>
  <c r="P14" i="11"/>
  <c r="K14" i="11"/>
  <c r="D13" i="5"/>
  <c r="Q14" i="6"/>
  <c r="P15" i="6"/>
  <c r="X12" i="6"/>
  <c r="N12" i="6"/>
  <c r="Q15" i="6"/>
  <c r="Z3" i="7"/>
  <c r="V12" i="7"/>
  <c r="AB13" i="7"/>
  <c r="D15" i="7"/>
  <c r="AB15" i="7"/>
  <c r="U17" i="7"/>
  <c r="E12" i="8"/>
  <c r="E14" i="9"/>
  <c r="Z15" i="9"/>
  <c r="Z14" i="10"/>
  <c r="AB15" i="10"/>
  <c r="E14" i="11"/>
  <c r="F3" i="12"/>
  <c r="AB15" i="12"/>
  <c r="F14" i="13"/>
  <c r="K6" i="6"/>
  <c r="D12" i="6"/>
  <c r="P13" i="6"/>
  <c r="S14" i="6"/>
  <c r="R15" i="6"/>
  <c r="M17" i="6"/>
  <c r="AB3" i="7"/>
  <c r="Q7" i="7"/>
  <c r="P8" i="7"/>
  <c r="W12" i="7"/>
  <c r="E15" i="7"/>
  <c r="V17" i="7"/>
  <c r="S2" i="8"/>
  <c r="V3" i="8"/>
  <c r="K13" i="8"/>
  <c r="H13" i="5"/>
  <c r="G15" i="5"/>
  <c r="T2" i="6"/>
  <c r="L6" i="6"/>
  <c r="J12" i="6"/>
  <c r="Q13" i="6"/>
  <c r="T14" i="6"/>
  <c r="T15" i="6"/>
  <c r="O17" i="6"/>
  <c r="O2" i="7"/>
  <c r="R6" i="7"/>
  <c r="R7" i="7"/>
  <c r="Q8" i="7"/>
  <c r="X12" i="7"/>
  <c r="D14" i="7"/>
  <c r="F15" i="7"/>
  <c r="Z17" i="7"/>
  <c r="T2" i="8"/>
  <c r="W3" i="8"/>
  <c r="N12" i="8"/>
  <c r="L13" i="8"/>
  <c r="I15" i="8"/>
  <c r="R7" i="9"/>
  <c r="G14" i="9"/>
  <c r="F17" i="9"/>
  <c r="AB14" i="10"/>
  <c r="C8" i="11"/>
  <c r="T12" i="11"/>
  <c r="G14" i="11"/>
  <c r="K3" i="12"/>
  <c r="R14" i="12"/>
  <c r="AA3" i="13"/>
  <c r="D3" i="13"/>
  <c r="W3" i="13"/>
  <c r="P3" i="13"/>
  <c r="K3" i="13"/>
  <c r="J3" i="13"/>
  <c r="G6" i="13"/>
  <c r="O12" i="13"/>
  <c r="K14" i="13"/>
  <c r="V15" i="13"/>
  <c r="U3" i="14"/>
  <c r="X7" i="14"/>
  <c r="I3" i="15"/>
  <c r="F8" i="15"/>
  <c r="L6" i="16"/>
  <c r="M12" i="17"/>
  <c r="X17" i="18"/>
  <c r="V17" i="18"/>
  <c r="U17" i="18"/>
  <c r="T17" i="18"/>
  <c r="S17" i="18"/>
  <c r="R17" i="18"/>
  <c r="P17" i="18"/>
  <c r="O17" i="18"/>
  <c r="N17" i="18"/>
  <c r="M17" i="18"/>
  <c r="L17" i="18"/>
  <c r="J17" i="18"/>
  <c r="G17" i="18"/>
  <c r="E17" i="18"/>
  <c r="D17" i="18"/>
  <c r="C17" i="18"/>
  <c r="AB17" i="18"/>
  <c r="AA17" i="18"/>
  <c r="Y17" i="18"/>
  <c r="W17" i="18"/>
  <c r="P2" i="14"/>
  <c r="Y15" i="14"/>
  <c r="S12" i="15"/>
  <c r="T15" i="15"/>
  <c r="G6" i="17"/>
  <c r="D2" i="18"/>
  <c r="J3" i="18"/>
  <c r="AB8" i="18"/>
  <c r="Y12" i="18"/>
  <c r="E15" i="18"/>
  <c r="H2" i="19"/>
  <c r="K3" i="19"/>
  <c r="N6" i="19"/>
  <c r="M8" i="19"/>
  <c r="C12" i="19"/>
  <c r="K13" i="19"/>
  <c r="T14" i="19"/>
  <c r="R2" i="14"/>
  <c r="U15" i="15"/>
  <c r="F2" i="18"/>
  <c r="K3" i="18"/>
  <c r="C8" i="18"/>
  <c r="Z12" i="18"/>
  <c r="J15" i="18"/>
  <c r="M2" i="19"/>
  <c r="M3" i="19"/>
  <c r="O6" i="19"/>
  <c r="N8" i="19"/>
  <c r="E12" i="19"/>
  <c r="L13" i="19"/>
  <c r="U14" i="19"/>
  <c r="G2" i="18"/>
  <c r="M3" i="18"/>
  <c r="D8" i="18"/>
  <c r="AB12" i="18"/>
  <c r="K15" i="18"/>
  <c r="N2" i="19"/>
  <c r="N3" i="19"/>
  <c r="R6" i="19"/>
  <c r="O8" i="19"/>
  <c r="F12" i="19"/>
  <c r="M13" i="19"/>
  <c r="V14" i="19"/>
  <c r="J2" i="18"/>
  <c r="N3" i="18"/>
  <c r="M15" i="18"/>
  <c r="O2" i="19"/>
  <c r="P3" i="19"/>
  <c r="W6" i="19"/>
  <c r="P8" i="19"/>
  <c r="G12" i="19"/>
  <c r="O13" i="19"/>
  <c r="AB14" i="19"/>
  <c r="X8" i="9"/>
  <c r="M3" i="11"/>
  <c r="O6" i="11"/>
  <c r="U8" i="12"/>
  <c r="Y2" i="14"/>
  <c r="J6" i="14"/>
  <c r="G15" i="14"/>
  <c r="W6" i="15"/>
  <c r="Z12" i="15"/>
  <c r="Z13" i="15"/>
  <c r="AA15" i="15"/>
  <c r="J14" i="16"/>
  <c r="H8" i="17"/>
  <c r="H15" i="17"/>
  <c r="L17" i="17"/>
  <c r="L2" i="18"/>
  <c r="Q3" i="18"/>
  <c r="I6" i="18"/>
  <c r="G8" i="18"/>
  <c r="H13" i="18"/>
  <c r="S15" i="18"/>
  <c r="R2" i="19"/>
  <c r="R3" i="19"/>
  <c r="R8" i="19"/>
  <c r="I12" i="19"/>
  <c r="Q13" i="19"/>
  <c r="C15" i="19"/>
  <c r="X6" i="15"/>
  <c r="AA12" i="15"/>
  <c r="AA13" i="15"/>
  <c r="Y14" i="16"/>
  <c r="J8" i="17"/>
  <c r="I15" i="17"/>
  <c r="M17" i="17"/>
  <c r="M2" i="18"/>
  <c r="R3" i="18"/>
  <c r="J6" i="18"/>
  <c r="J8" i="18"/>
  <c r="P13" i="18"/>
  <c r="W15" i="18"/>
  <c r="S2" i="19"/>
  <c r="S3" i="19"/>
  <c r="S8" i="19"/>
  <c r="J12" i="19"/>
  <c r="T13" i="19"/>
  <c r="E15" i="19"/>
  <c r="AA2" i="14"/>
  <c r="L6" i="14"/>
  <c r="AB13" i="15"/>
  <c r="N8" i="17"/>
  <c r="N15" i="17"/>
  <c r="O17" i="17"/>
  <c r="N2" i="18"/>
  <c r="S3" i="18"/>
  <c r="K6" i="18"/>
  <c r="K8" i="18"/>
  <c r="X15" i="18"/>
  <c r="U2" i="19"/>
  <c r="T3" i="19"/>
  <c r="T8" i="19"/>
  <c r="L12" i="19"/>
  <c r="V13" i="19"/>
  <c r="F15" i="19"/>
  <c r="Q17" i="17"/>
  <c r="O2" i="18"/>
  <c r="V3" i="18"/>
  <c r="O6" i="18"/>
  <c r="Y15" i="18"/>
  <c r="V2" i="19"/>
  <c r="U3" i="19"/>
  <c r="V8" i="19"/>
  <c r="P12" i="19"/>
  <c r="W13" i="19"/>
  <c r="G15" i="19"/>
  <c r="U6" i="11"/>
  <c r="Q13" i="11"/>
  <c r="Z8" i="12"/>
  <c r="O6" i="14"/>
  <c r="L15" i="14"/>
  <c r="G12" i="15"/>
  <c r="E13" i="15"/>
  <c r="E14" i="15"/>
  <c r="Q8" i="17"/>
  <c r="U17" i="17"/>
  <c r="R2" i="18"/>
  <c r="Y3" i="18"/>
  <c r="Q6" i="18"/>
  <c r="O8" i="18"/>
  <c r="L14" i="18"/>
  <c r="AA15" i="18"/>
  <c r="X2" i="19"/>
  <c r="W3" i="19"/>
  <c r="Y8" i="19"/>
  <c r="R12" i="19"/>
  <c r="Z13" i="19"/>
  <c r="L15" i="19"/>
  <c r="C17" i="19"/>
  <c r="W17" i="17"/>
  <c r="S2" i="18"/>
  <c r="W6" i="18"/>
  <c r="P8" i="18"/>
  <c r="Q14" i="18"/>
  <c r="AB15" i="18"/>
  <c r="Z2" i="19"/>
  <c r="Y3" i="19"/>
  <c r="Z8" i="19"/>
  <c r="T12" i="19"/>
  <c r="AA13" i="19"/>
  <c r="M15" i="19"/>
  <c r="E17" i="19"/>
  <c r="C13" i="17"/>
  <c r="U2" i="18"/>
  <c r="Z3" i="19"/>
  <c r="O15" i="19"/>
  <c r="F17" i="19"/>
  <c r="V2" i="18"/>
  <c r="AA3" i="19"/>
  <c r="AB8" i="19"/>
  <c r="V12" i="19"/>
  <c r="F14" i="19"/>
  <c r="P15" i="19"/>
  <c r="G17" i="19"/>
  <c r="S6" i="14"/>
  <c r="P15" i="14"/>
  <c r="K12" i="15"/>
  <c r="S3" i="16"/>
  <c r="U8" i="17"/>
  <c r="N13" i="17"/>
  <c r="Z17" i="17"/>
  <c r="X2" i="18"/>
  <c r="S8" i="18"/>
  <c r="V14" i="18"/>
  <c r="C3" i="19"/>
  <c r="AB3" i="19"/>
  <c r="C8" i="19"/>
  <c r="Y12" i="19"/>
  <c r="G14" i="19"/>
  <c r="Q15" i="19"/>
  <c r="M17" i="19"/>
  <c r="Q13" i="17"/>
  <c r="Y2" i="18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S13" i="17"/>
  <c r="F3" i="19"/>
  <c r="D6" i="19"/>
  <c r="K14" i="19"/>
  <c r="AA15" i="19"/>
  <c r="R17" i="19"/>
  <c r="G2" i="14"/>
  <c r="Z6" i="14"/>
  <c r="T15" i="14"/>
  <c r="N6" i="15"/>
  <c r="O12" i="15"/>
  <c r="M13" i="15"/>
  <c r="AA8" i="17"/>
  <c r="U13" i="17"/>
  <c r="D3" i="18"/>
  <c r="G3" i="19"/>
  <c r="E6" i="19"/>
  <c r="G8" i="19"/>
  <c r="C13" i="19"/>
  <c r="L14" i="19"/>
  <c r="AB15" i="19"/>
  <c r="V17" i="19"/>
  <c r="E3" i="18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J3" i="19"/>
  <c r="J6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<sst xmlns="http://schemas.openxmlformats.org/spreadsheetml/2006/main" count="3113" uniqueCount="587">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</sst>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77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IA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8.2031800400728695E-3</v>
      </c>
      <c r="C2" s="7">
        <f>$B2 * IFERROR(VLOOKUP("transport|PM25|Premature mortality", US_national_yearly!$D:$AM, 11, FALSE) / VLOOKUP("transport|PM25|Premature mortality", US_national_yearly!$D:$AM, 10, FALSE), 1)</f>
        <v>8.3048814954144613E-3</v>
      </c>
      <c r="D2" s="7">
        <f>$B2 * IFERROR(VLOOKUP("transport|PM25|Premature mortality", US_national_yearly!$D:$AM, 12, FALSE) / VLOOKUP("transport|PM25|Premature mortality", US_national_yearly!$D:$AM, 10, FALSE), 1)</f>
        <v>8.4065829507560513E-3</v>
      </c>
      <c r="E2" s="7">
        <f>$B2 * IFERROR(VLOOKUP("transport|PM25|Premature mortality", US_national_yearly!$D:$AM, 13, FALSE) / VLOOKUP("transport|PM25|Premature mortality", US_national_yearly!$D:$AM, 10, FALSE), 1)</f>
        <v>8.5082844060976413E-3</v>
      </c>
      <c r="F2" s="7">
        <f>$B2 * IFERROR(VLOOKUP("transport|PM25|Premature mortality", US_national_yearly!$D:$AM, 14, FALSE) / VLOOKUP("transport|PM25|Premature mortality", US_national_yearly!$D:$AM, 10, FALSE), 1)</f>
        <v>8.6099858614392313E-3</v>
      </c>
      <c r="G2" s="7">
        <f>$B2 * IFERROR(VLOOKUP("transport|PM25|Premature mortality", US_national_yearly!$D:$AM, 15, FALSE) / VLOOKUP("transport|PM25|Premature mortality", US_national_yearly!$D:$AM, 10, FALSE), 1)</f>
        <v>8.8080486787027578E-3</v>
      </c>
      <c r="H2" s="7">
        <f>$B2 * IFERROR(VLOOKUP("transport|PM25|Premature mortality", US_national_yearly!$D:$AM, 16, FALSE) / VLOOKUP("transport|PM25|Premature mortality", US_national_yearly!$D:$AM, 10, FALSE), 1)</f>
        <v>9.0061114959662861E-3</v>
      </c>
      <c r="I2" s="7">
        <f>$B2 * IFERROR(VLOOKUP("transport|PM25|Premature mortality", US_national_yearly!$D:$AM, 17, FALSE) / VLOOKUP("transport|PM25|Premature mortality", US_national_yearly!$D:$AM, 10, FALSE), 1)</f>
        <v>9.1362074918260872E-3</v>
      </c>
      <c r="J2" s="7">
        <f>$B2 * IFERROR(VLOOKUP("transport|PM25|Premature mortality", US_national_yearly!$D:$AM, 18, FALSE) / VLOOKUP("transport|PM25|Premature mortality", US_national_yearly!$D:$AM, 10, FALSE), 1)</f>
        <v>9.2663034876858934E-3</v>
      </c>
      <c r="K2" s="7">
        <f>$B2 * IFERROR(VLOOKUP("transport|PM25|Premature mortality", US_national_yearly!$D:$AM, 19, FALSE) / VLOOKUP("transport|PM25|Premature mortality", US_national_yearly!$D:$AM, 10, FALSE), 1)</f>
        <v>9.3963994835456963E-3</v>
      </c>
      <c r="L2" s="7">
        <f>$B2 * IFERROR(VLOOKUP("transport|PM25|Premature mortality", US_national_yearly!$D:$AM, 20, FALSE) / VLOOKUP("transport|PM25|Premature mortality", US_national_yearly!$D:$AM, 10, FALSE), 1)</f>
        <v>9.5264954794055008E-3</v>
      </c>
      <c r="M2" s="7">
        <f>$B2 * IFERROR(VLOOKUP("transport|PM25|Premature mortality", US_national_yearly!$D:$AM, 21, FALSE) / VLOOKUP("transport|PM25|Premature mortality", US_national_yearly!$D:$AM, 10, FALSE), 1)</f>
        <v>9.6565914752653054E-3</v>
      </c>
      <c r="N2" s="7">
        <f>$B2 * IFERROR(VLOOKUP("transport|PM25|Premature mortality", US_national_yearly!$D:$AM, 22, FALSE) / VLOOKUP("transport|PM25|Premature mortality", US_national_yearly!$D:$AM, 10, FALSE), 1)</f>
        <v>9.7576027362157539E-3</v>
      </c>
      <c r="O2" s="7">
        <f>$B2 * IFERROR(VLOOKUP("transport|PM25|Premature mortality", US_national_yearly!$D:$AM, 23, FALSE) / VLOOKUP("transport|PM25|Premature mortality", US_national_yearly!$D:$AM, 10, FALSE), 1)</f>
        <v>9.8586139971662042E-3</v>
      </c>
      <c r="P2" s="7">
        <f>$B2 * IFERROR(VLOOKUP("transport|PM25|Premature mortality", US_national_yearly!$D:$AM, 24, FALSE) / VLOOKUP("transport|PM25|Premature mortality", US_national_yearly!$D:$AM, 10, FALSE), 1)</f>
        <v>9.9596252581166545E-3</v>
      </c>
      <c r="Q2" s="7">
        <f>$B2 * IFERROR(VLOOKUP("transport|PM25|Premature mortality", US_national_yearly!$D:$AM, 25, FALSE) / VLOOKUP("transport|PM25|Premature mortality", US_national_yearly!$D:$AM, 10, FALSE), 1)</f>
        <v>1.0060636519067105E-2</v>
      </c>
      <c r="R2" s="7">
        <f>$B2 * IFERROR(VLOOKUP("transport|PM25|Premature mortality", US_national_yearly!$D:$AM, 26, FALSE) / VLOOKUP("transport|PM25|Premature mortality", US_national_yearly!$D:$AM, 10, FALSE), 1)</f>
        <v>1.0161647780017557E-2</v>
      </c>
      <c r="S2" s="7">
        <f>$B2 * IFERROR(VLOOKUP("transport|PM25|Premature mortality", US_national_yearly!$D:$AM, 27, FALSE) / VLOOKUP("transport|PM25|Premature mortality", US_national_yearly!$D:$AM, 10, FALSE), 1)</f>
        <v>1.0215160544924513E-2</v>
      </c>
      <c r="T2" s="7">
        <f>$B2 * IFERROR(VLOOKUP("transport|PM25|Premature mortality", US_national_yearly!$D:$AM, 28, FALSE) / VLOOKUP("transport|PM25|Premature mortality", US_national_yearly!$D:$AM, 10, FALSE), 1)</f>
        <v>1.0268673309831465E-2</v>
      </c>
      <c r="U2" s="7">
        <f>$B2 * IFERROR(VLOOKUP("transport|PM25|Premature mortality", US_national_yearly!$D:$AM, 29, FALSE) / VLOOKUP("transport|PM25|Premature mortality", US_national_yearly!$D:$AM, 10, FALSE), 1)</f>
        <v>1.0322186074738419E-2</v>
      </c>
      <c r="V2" s="7">
        <f>$B2 * IFERROR(VLOOKUP("transport|PM25|Premature mortality", US_national_yearly!$D:$AM, 30, FALSE) / VLOOKUP("transport|PM25|Premature mortality", US_national_yearly!$D:$AM, 10, FALSE), 1)</f>
        <v>1.0375698839645373E-2</v>
      </c>
      <c r="W2" s="7">
        <f>$B2 * IFERROR(VLOOKUP("transport|PM25|Premature mortality", US_national_yearly!$D:$AM, 31, FALSE) / VLOOKUP("transport|PM25|Premature mortality", US_national_yearly!$D:$AM, 10, FALSE), 1)</f>
        <v>1.0429211604552327E-2</v>
      </c>
      <c r="X2" s="7">
        <f>$B2 * IFERROR(VLOOKUP("transport|PM25|Premature mortality", US_national_yearly!$D:$AM, 32, FALSE) / VLOOKUP("transport|PM25|Premature mortality", US_national_yearly!$D:$AM, 10, FALSE), 1)</f>
        <v>1.0438568725446221E-2</v>
      </c>
      <c r="Y2" s="7">
        <f>$B2 * IFERROR(VLOOKUP("transport|PM25|Premature mortality", US_national_yearly!$D:$AM, 33, FALSE) / VLOOKUP("transport|PM25|Premature mortality", US_national_yearly!$D:$AM, 10, FALSE), 1)</f>
        <v>1.0447925846340116E-2</v>
      </c>
      <c r="Z2" s="7">
        <f>$B2 * IFERROR(VLOOKUP("transport|PM25|Premature mortality", US_national_yearly!$D:$AM, 34, FALSE) / VLOOKUP("transport|PM25|Premature mortality", US_national_yearly!$D:$AM, 10, FALSE), 1)</f>
        <v>1.045728296723401E-2</v>
      </c>
      <c r="AA2" s="7">
        <f>$B2 * IFERROR(VLOOKUP("transport|PM25|Premature mortality", US_national_yearly!$D:$AM, 35, FALSE) / VLOOKUP("transport|PM25|Premature mortality", US_national_yearly!$D:$AM, 10, FALSE), 1)</f>
        <v>1.0466640088127905E-2</v>
      </c>
      <c r="AB2" s="7">
        <f>$B2 * IFERROR(VLOOKUP("transport|PM25|Premature mortality", US_national_yearly!$D:$AM, 36, FALSE) / VLOOKUP("transport|PM25|Premature mortality", US_national_yearly!$D:$AM, 10, FALSE), 1)</f>
        <v>1.0475997209021799E-2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1.8238576164699739E-5</v>
      </c>
      <c r="C3" s="7">
        <f>$B3 * IFERROR(VLOOKUP("transport|PM25|Infant mortality", US_national_yearly!$D:$AM, 11, FALSE) / VLOOKUP("transport|PM25|Infant mortality", US_national_yearly!$D:$AM, 10, FALSE), 1)</f>
        <v>1.8079552423362935E-5</v>
      </c>
      <c r="D3" s="7">
        <f>$B3 * IFERROR(VLOOKUP("transport|PM25|Infant mortality", US_national_yearly!$D:$AM, 12, FALSE) / VLOOKUP("transport|PM25|Infant mortality", US_national_yearly!$D:$AM, 10, FALSE), 1)</f>
        <v>1.7920528682026127E-5</v>
      </c>
      <c r="E3" s="7">
        <f>$B3 * IFERROR(VLOOKUP("transport|PM25|Infant mortality", US_national_yearly!$D:$AM, 13, FALSE) / VLOOKUP("transport|PM25|Infant mortality", US_national_yearly!$D:$AM, 10, FALSE), 1)</f>
        <v>1.7761504940689323E-5</v>
      </c>
      <c r="F3" s="7">
        <f>$B3 * IFERROR(VLOOKUP("transport|PM25|Infant mortality", US_national_yearly!$D:$AM, 14, FALSE) / VLOOKUP("transport|PM25|Infant mortality", US_national_yearly!$D:$AM, 10, FALSE), 1)</f>
        <v>1.7602481199352515E-5</v>
      </c>
      <c r="G3" s="7">
        <f>$B3 * IFERROR(VLOOKUP("transport|PM25|Infant mortality", US_national_yearly!$D:$AM, 15, FALSE) / VLOOKUP("transport|PM25|Infant mortality", US_national_yearly!$D:$AM, 10, FALSE), 1)</f>
        <v>1.1706591588720707E-5</v>
      </c>
      <c r="H3" s="7">
        <f>$B3 * IFERROR(VLOOKUP("transport|PM25|Infant mortality", US_national_yearly!$D:$AM, 16, FALSE) / VLOOKUP("transport|PM25|Infant mortality", US_national_yearly!$D:$AM, 10, FALSE), 1)</f>
        <v>5.8107019780888947E-6</v>
      </c>
      <c r="I3" s="7">
        <f>$B3 * IFERROR(VLOOKUP("transport|PM25|Infant mortality", US_national_yearly!$D:$AM, 17, FALSE) / VLOOKUP("transport|PM25|Infant mortality", US_national_yearly!$D:$AM, 10, FALSE), 1)</f>
        <v>5.772719442238404E-6</v>
      </c>
      <c r="J3" s="7">
        <f>$B3 * IFERROR(VLOOKUP("transport|PM25|Infant mortality", US_national_yearly!$D:$AM, 18, FALSE) / VLOOKUP("transport|PM25|Infant mortality", US_national_yearly!$D:$AM, 10, FALSE), 1)</f>
        <v>5.7347369063879125E-6</v>
      </c>
      <c r="K3" s="7">
        <f>$B3 * IFERROR(VLOOKUP("transport|PM25|Infant mortality", US_national_yearly!$D:$AM, 19, FALSE) / VLOOKUP("transport|PM25|Infant mortality", US_national_yearly!$D:$AM, 10, FALSE), 1)</f>
        <v>5.6967543705374209E-6</v>
      </c>
      <c r="L3" s="7">
        <f>$B3 * IFERROR(VLOOKUP("transport|PM25|Infant mortality", US_national_yearly!$D:$AM, 20, FALSE) / VLOOKUP("transport|PM25|Infant mortality", US_national_yearly!$D:$AM, 10, FALSE), 1)</f>
        <v>5.6587718346869311E-6</v>
      </c>
      <c r="M3" s="7">
        <f>$B3 * IFERROR(VLOOKUP("transport|PM25|Infant mortality", US_national_yearly!$D:$AM, 21, FALSE) / VLOOKUP("transport|PM25|Infant mortality", US_national_yearly!$D:$AM, 10, FALSE), 1)</f>
        <v>5.6207892988364403E-6</v>
      </c>
      <c r="N3" s="7">
        <f>$B3 * IFERROR(VLOOKUP("transport|PM25|Infant mortality", US_national_yearly!$D:$AM, 22, FALSE) / VLOOKUP("transport|PM25|Infant mortality", US_national_yearly!$D:$AM, 10, FALSE), 1)</f>
        <v>5.5969320612449262E-6</v>
      </c>
      <c r="O3" s="7">
        <f>$B3 * IFERROR(VLOOKUP("transport|PM25|Infant mortality", US_national_yearly!$D:$AM, 23, FALSE) / VLOOKUP("transport|PM25|Infant mortality", US_national_yearly!$D:$AM, 10, FALSE), 1)</f>
        <v>5.5730748236534138E-6</v>
      </c>
      <c r="P3" s="7">
        <f>$B3 * IFERROR(VLOOKUP("transport|PM25|Infant mortality", US_national_yearly!$D:$AM, 24, FALSE) / VLOOKUP("transport|PM25|Infant mortality", US_national_yearly!$D:$AM, 10, FALSE), 1)</f>
        <v>5.5492175860618988E-6</v>
      </c>
      <c r="Q3" s="7">
        <f>$B3 * IFERROR(VLOOKUP("transport|PM25|Infant mortality", US_national_yearly!$D:$AM, 25, FALSE) / VLOOKUP("transport|PM25|Infant mortality", US_national_yearly!$D:$AM, 10, FALSE), 1)</f>
        <v>5.5253603484703856E-6</v>
      </c>
      <c r="R3" s="7">
        <f>$B3 * IFERROR(VLOOKUP("transport|PM25|Infant mortality", US_national_yearly!$D:$AM, 26, FALSE) / VLOOKUP("transport|PM25|Infant mortality", US_national_yearly!$D:$AM, 10, FALSE), 1)</f>
        <v>5.5015031108788715E-6</v>
      </c>
      <c r="S3" s="7">
        <f>$B3 * IFERROR(VLOOKUP("transport|PM25|Infant mortality", US_national_yearly!$D:$AM, 27, FALSE) / VLOOKUP("transport|PM25|Infant mortality", US_national_yearly!$D:$AM, 10, FALSE), 1)</f>
        <v>5.4717645764216887E-6</v>
      </c>
      <c r="T3" s="7">
        <f>$B3 * IFERROR(VLOOKUP("transport|PM25|Infant mortality", US_national_yearly!$D:$AM, 28, FALSE) / VLOOKUP("transport|PM25|Infant mortality", US_national_yearly!$D:$AM, 10, FALSE), 1)</f>
        <v>5.4420260419645042E-6</v>
      </c>
      <c r="U3" s="7">
        <f>$B3 * IFERROR(VLOOKUP("transport|PM25|Infant mortality", US_national_yearly!$D:$AM, 29, FALSE) / VLOOKUP("transport|PM25|Infant mortality", US_national_yearly!$D:$AM, 10, FALSE), 1)</f>
        <v>5.4122875075073214E-6</v>
      </c>
      <c r="V3" s="7">
        <f>$B3 * IFERROR(VLOOKUP("transport|PM25|Infant mortality", US_national_yearly!$D:$AM, 30, FALSE) / VLOOKUP("transport|PM25|Infant mortality", US_national_yearly!$D:$AM, 10, FALSE), 1)</f>
        <v>5.3825489730501378E-6</v>
      </c>
      <c r="W3" s="7">
        <f>$B3 * IFERROR(VLOOKUP("transport|PM25|Infant mortality", US_national_yearly!$D:$AM, 31, FALSE) / VLOOKUP("transport|PM25|Infant mortality", US_national_yearly!$D:$AM, 10, FALSE), 1)</f>
        <v>5.3528104385929533E-6</v>
      </c>
      <c r="X3" s="7">
        <f>$B3 * IFERROR(VLOOKUP("transport|PM25|Infant mortality", US_national_yearly!$D:$AM, 32, FALSE) / VLOOKUP("transport|PM25|Infant mortality", US_national_yearly!$D:$AM, 10, FALSE), 1)</f>
        <v>5.3207485607064633E-6</v>
      </c>
      <c r="Y3" s="7">
        <f>$B3 * IFERROR(VLOOKUP("transport|PM25|Infant mortality", US_national_yearly!$D:$AM, 33, FALSE) / VLOOKUP("transport|PM25|Infant mortality", US_national_yearly!$D:$AM, 10, FALSE), 1)</f>
        <v>5.2886866828199699E-6</v>
      </c>
      <c r="Z3" s="7">
        <f>$B3 * IFERROR(VLOOKUP("transport|PM25|Infant mortality", US_national_yearly!$D:$AM, 34, FALSE) / VLOOKUP("transport|PM25|Infant mortality", US_national_yearly!$D:$AM, 10, FALSE), 1)</f>
        <v>5.2566248049334798E-6</v>
      </c>
      <c r="AA3" s="7">
        <f>$B3 * IFERROR(VLOOKUP("transport|PM25|Infant mortality", US_national_yearly!$D:$AM, 35, FALSE) / VLOOKUP("transport|PM25|Infant mortality", US_national_yearly!$D:$AM, 10, FALSE), 1)</f>
        <v>5.2245629270469881E-6</v>
      </c>
      <c r="AB3" s="7">
        <f>$B3 * IFERROR(VLOOKUP("transport|PM25|Infant mortality", US_national_yearly!$D:$AM, 36, FALSE) / VLOOKUP("transport|PM25|Infant mortality", US_national_yearly!$D:$AM, 10, FALSE), 1)</f>
        <v>5.1925010491604972E-6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2.2013316588746473E-2</v>
      </c>
      <c r="C6" s="7">
        <f>$B6 * IFERROR(VLOOKUP("transport|PM25|Asthma symptoms cough", US_national_yearly!$D:$AM, 11, FALSE) / VLOOKUP("transport|PM25|Asthma symptoms cough", US_national_yearly!$D:$AM, 10, FALSE), 1)</f>
        <v>2.2013316588746473E-2</v>
      </c>
      <c r="D6" s="7">
        <f>$B6 * IFERROR(VLOOKUP("transport|PM25|Asthma symptoms cough", US_national_yearly!$D:$AM, 12, FALSE) / VLOOKUP("transport|PM25|Asthma symptoms cough", US_national_yearly!$D:$AM, 10, FALSE), 1)</f>
        <v>2.2013316588746473E-2</v>
      </c>
      <c r="E6" s="7">
        <f>$B6 * IFERROR(VLOOKUP("transport|PM25|Asthma symptoms cough", US_national_yearly!$D:$AM, 13, FALSE) / VLOOKUP("transport|PM25|Asthma symptoms cough", US_national_yearly!$D:$AM, 10, FALSE), 1)</f>
        <v>2.2013316588746473E-2</v>
      </c>
      <c r="F6" s="7">
        <f>$B6 * IFERROR(VLOOKUP("transport|PM25|Asthma symptoms cough", US_national_yearly!$D:$AM, 14, FALSE) / VLOOKUP("transport|PM25|Asthma symptoms cough", US_national_yearly!$D:$AM, 10, FALSE), 1)</f>
        <v>2.2013316588746473E-2</v>
      </c>
      <c r="G6" s="7">
        <f>$B6 * IFERROR(VLOOKUP("transport|PM25|Asthma symptoms cough", US_national_yearly!$D:$AM, 15, FALSE) / VLOOKUP("transport|PM25|Asthma symptoms cough", US_national_yearly!$D:$AM, 10, FALSE), 1)</f>
        <v>2.2013316588746473E-2</v>
      </c>
      <c r="H6" s="7">
        <f>$B6 * IFERROR(VLOOKUP("transport|PM25|Asthma symptoms cough", US_national_yearly!$D:$AM, 16, FALSE) / VLOOKUP("transport|PM25|Asthma symptoms cough", US_national_yearly!$D:$AM, 10, FALSE), 1)</f>
        <v>2.2013316588746473E-2</v>
      </c>
      <c r="I6" s="7">
        <f>$B6 * IFERROR(VLOOKUP("transport|PM25|Asthma symptoms cough", US_national_yearly!$D:$AM, 17, FALSE) / VLOOKUP("transport|PM25|Asthma symptoms cough", US_national_yearly!$D:$AM, 10, FALSE), 1)</f>
        <v>2.2013316588746473E-2</v>
      </c>
      <c r="J6" s="7">
        <f>$B6 * IFERROR(VLOOKUP("transport|PM25|Asthma symptoms cough", US_national_yearly!$D:$AM, 18, FALSE) / VLOOKUP("transport|PM25|Asthma symptoms cough", US_national_yearly!$D:$AM, 10, FALSE), 1)</f>
        <v>2.2013316588746473E-2</v>
      </c>
      <c r="K6" s="7">
        <f>$B6 * IFERROR(VLOOKUP("transport|PM25|Asthma symptoms cough", US_national_yearly!$D:$AM, 19, FALSE) / VLOOKUP("transport|PM25|Asthma symptoms cough", US_national_yearly!$D:$AM, 10, FALSE), 1)</f>
        <v>2.2013316588746473E-2</v>
      </c>
      <c r="L6" s="7">
        <f>$B6 * IFERROR(VLOOKUP("transport|PM25|Asthma symptoms cough", US_national_yearly!$D:$AM, 20, FALSE) / VLOOKUP("transport|PM25|Asthma symptoms cough", US_national_yearly!$D:$AM, 10, FALSE), 1)</f>
        <v>2.2013316588746473E-2</v>
      </c>
      <c r="M6" s="7">
        <f>$B6 * IFERROR(VLOOKUP("transport|PM25|Asthma symptoms cough", US_national_yearly!$D:$AM, 21, FALSE) / VLOOKUP("transport|PM25|Asthma symptoms cough", US_national_yearly!$D:$AM, 10, FALSE), 1)</f>
        <v>2.2013316588746473E-2</v>
      </c>
      <c r="N6" s="7">
        <f>$B6 * IFERROR(VLOOKUP("transport|PM25|Asthma symptoms cough", US_national_yearly!$D:$AM, 22, FALSE) / VLOOKUP("transport|PM25|Asthma symptoms cough", US_national_yearly!$D:$AM, 10, FALSE), 1)</f>
        <v>2.2013316588746473E-2</v>
      </c>
      <c r="O6" s="7">
        <f>$B6 * IFERROR(VLOOKUP("transport|PM25|Asthma symptoms cough", US_national_yearly!$D:$AM, 23, FALSE) / VLOOKUP("transport|PM25|Asthma symptoms cough", US_national_yearly!$D:$AM, 10, FALSE), 1)</f>
        <v>2.2013316588746473E-2</v>
      </c>
      <c r="P6" s="7">
        <f>$B6 * IFERROR(VLOOKUP("transport|PM25|Asthma symptoms cough", US_national_yearly!$D:$AM, 24, FALSE) / VLOOKUP("transport|PM25|Asthma symptoms cough", US_national_yearly!$D:$AM, 10, FALSE), 1)</f>
        <v>2.2013316588746473E-2</v>
      </c>
      <c r="Q6" s="7">
        <f>$B6 * IFERROR(VLOOKUP("transport|PM25|Asthma symptoms cough", US_national_yearly!$D:$AM, 25, FALSE) / VLOOKUP("transport|PM25|Asthma symptoms cough", US_national_yearly!$D:$AM, 10, FALSE), 1)</f>
        <v>2.2013316588746473E-2</v>
      </c>
      <c r="R6" s="7">
        <f>$B6 * IFERROR(VLOOKUP("transport|PM25|Asthma symptoms cough", US_national_yearly!$D:$AM, 26, FALSE) / VLOOKUP("transport|PM25|Asthma symptoms cough", US_national_yearly!$D:$AM, 10, FALSE), 1)</f>
        <v>2.2013316588746473E-2</v>
      </c>
      <c r="S6" s="7">
        <f>$B6 * IFERROR(VLOOKUP("transport|PM25|Asthma symptoms cough", US_national_yearly!$D:$AM, 27, FALSE) / VLOOKUP("transport|PM25|Asthma symptoms cough", US_national_yearly!$D:$AM, 10, FALSE), 1)</f>
        <v>2.2013316588746473E-2</v>
      </c>
      <c r="T6" s="7">
        <f>$B6 * IFERROR(VLOOKUP("transport|PM25|Asthma symptoms cough", US_national_yearly!$D:$AM, 28, FALSE) / VLOOKUP("transport|PM25|Asthma symptoms cough", US_national_yearly!$D:$AM, 10, FALSE), 1)</f>
        <v>2.2013316588746473E-2</v>
      </c>
      <c r="U6" s="7">
        <f>$B6 * IFERROR(VLOOKUP("transport|PM25|Asthma symptoms cough", US_national_yearly!$D:$AM, 29, FALSE) / VLOOKUP("transport|PM25|Asthma symptoms cough", US_national_yearly!$D:$AM, 10, FALSE), 1)</f>
        <v>2.2013316588746473E-2</v>
      </c>
      <c r="V6" s="7">
        <f>$B6 * IFERROR(VLOOKUP("transport|PM25|Asthma symptoms cough", US_national_yearly!$D:$AM, 30, FALSE) / VLOOKUP("transport|PM25|Asthma symptoms cough", US_national_yearly!$D:$AM, 10, FALSE), 1)</f>
        <v>2.2013316588746473E-2</v>
      </c>
      <c r="W6" s="7">
        <f>$B6 * IFERROR(VLOOKUP("transport|PM25|Asthma symptoms cough", US_national_yearly!$D:$AM, 31, FALSE) / VLOOKUP("transport|PM25|Asthma symptoms cough", US_national_yearly!$D:$AM, 10, FALSE), 1)</f>
        <v>2.2013316588746473E-2</v>
      </c>
      <c r="X6" s="7">
        <f>$B6 * IFERROR(VLOOKUP("transport|PM25|Asthma symptoms cough", US_national_yearly!$D:$AM, 32, FALSE) / VLOOKUP("transport|PM25|Asthma symptoms cough", US_national_yearly!$D:$AM, 10, FALSE), 1)</f>
        <v>2.2013316588746473E-2</v>
      </c>
      <c r="Y6" s="7">
        <f>$B6 * IFERROR(VLOOKUP("transport|PM25|Asthma symptoms cough", US_national_yearly!$D:$AM, 33, FALSE) / VLOOKUP("transport|PM25|Asthma symptoms cough", US_national_yearly!$D:$AM, 10, FALSE), 1)</f>
        <v>2.2013316588746473E-2</v>
      </c>
      <c r="Z6" s="7">
        <f>$B6 * IFERROR(VLOOKUP("transport|PM25|Asthma symptoms cough", US_national_yearly!$D:$AM, 34, FALSE) / VLOOKUP("transport|PM25|Asthma symptoms cough", US_national_yearly!$D:$AM, 10, FALSE), 1)</f>
        <v>2.2013316588746473E-2</v>
      </c>
      <c r="AA6" s="7">
        <f>$B6 * IFERROR(VLOOKUP("transport|PM25|Asthma symptoms cough", US_national_yearly!$D:$AM, 35, FALSE) / VLOOKUP("transport|PM25|Asthma symptoms cough", US_national_yearly!$D:$AM, 10, FALSE), 1)</f>
        <v>2.2013316588746473E-2</v>
      </c>
      <c r="AB6" s="7">
        <f>$B6 * IFERROR(VLOOKUP("transport|PM25|Asthma symptoms cough", US_national_yearly!$D:$AM, 36, FALSE) / VLOOKUP("transport|PM25|Asthma symptoms cough", US_national_yearly!$D:$AM, 10, FALSE), 1)</f>
        <v>2.2013316588746473E-2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2.9643801197953748E-2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2.9643801197953748E-2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2.9643801197953748E-2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2.9643801197953748E-2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2.9643801197953748E-2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2.9643801197953748E-2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2.9643801197953748E-2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2.9643801197953748E-2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2.9643801197953748E-2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2.9643801197953748E-2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2.9643801197953748E-2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2.9643801197953748E-2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2.9643801197953748E-2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2.9643801197953748E-2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2.9643801197953748E-2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2.9643801197953748E-2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2.9643801197953748E-2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2.9643801197953748E-2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2.9643801197953748E-2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2.9643801197953748E-2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2.9643801197953748E-2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2.9643801197953748E-2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2.9643801197953748E-2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2.9643801197953748E-2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2.9643801197953748E-2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2.9643801197953748E-2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2.9643801197953748E-2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4.5291859200829551E-2</v>
      </c>
      <c r="C8" s="7">
        <f>$B8 * IFERROR(VLOOKUP("transport|PM25|Asthma symptoms wheeze", US_national_yearly!$D:$AM, 11, FALSE) / VLOOKUP("transport|PM25|Asthma symptoms wheeze", US_national_yearly!$D:$AM, 10, FALSE), 1)</f>
        <v>4.5291859200829551E-2</v>
      </c>
      <c r="D8" s="7">
        <f>$B8 * IFERROR(VLOOKUP("transport|PM25|Asthma symptoms wheeze", US_national_yearly!$D:$AM, 12, FALSE) / VLOOKUP("transport|PM25|Asthma symptoms wheeze", US_national_yearly!$D:$AM, 10, FALSE), 1)</f>
        <v>4.5291859200829551E-2</v>
      </c>
      <c r="E8" s="7">
        <f>$B8 * IFERROR(VLOOKUP("transport|PM25|Asthma symptoms wheeze", US_national_yearly!$D:$AM, 13, FALSE) / VLOOKUP("transport|PM25|Asthma symptoms wheeze", US_national_yearly!$D:$AM, 10, FALSE), 1)</f>
        <v>4.5291859200829551E-2</v>
      </c>
      <c r="F8" s="7">
        <f>$B8 * IFERROR(VLOOKUP("transport|PM25|Asthma symptoms wheeze", US_national_yearly!$D:$AM, 14, FALSE) / VLOOKUP("transport|PM25|Asthma symptoms wheeze", US_national_yearly!$D:$AM, 10, FALSE), 1)</f>
        <v>4.5291859200829551E-2</v>
      </c>
      <c r="G8" s="7">
        <f>$B8 * IFERROR(VLOOKUP("transport|PM25|Asthma symptoms wheeze", US_national_yearly!$D:$AM, 15, FALSE) / VLOOKUP("transport|PM25|Asthma symptoms wheeze", US_national_yearly!$D:$AM, 10, FALSE), 1)</f>
        <v>4.5291859200829551E-2</v>
      </c>
      <c r="H8" s="7">
        <f>$B8 * IFERROR(VLOOKUP("transport|PM25|Asthma symptoms wheeze", US_national_yearly!$D:$AM, 16, FALSE) / VLOOKUP("transport|PM25|Asthma symptoms wheeze", US_national_yearly!$D:$AM, 10, FALSE), 1)</f>
        <v>4.5291859200829551E-2</v>
      </c>
      <c r="I8" s="7">
        <f>$B8 * IFERROR(VLOOKUP("transport|PM25|Asthma symptoms wheeze", US_national_yearly!$D:$AM, 17, FALSE) / VLOOKUP("transport|PM25|Asthma symptoms wheeze", US_national_yearly!$D:$AM, 10, FALSE), 1)</f>
        <v>4.5291859200829551E-2</v>
      </c>
      <c r="J8" s="7">
        <f>$B8 * IFERROR(VLOOKUP("transport|PM25|Asthma symptoms wheeze", US_national_yearly!$D:$AM, 18, FALSE) / VLOOKUP("transport|PM25|Asthma symptoms wheeze", US_national_yearly!$D:$AM, 10, FALSE), 1)</f>
        <v>4.5291859200829551E-2</v>
      </c>
      <c r="K8" s="7">
        <f>$B8 * IFERROR(VLOOKUP("transport|PM25|Asthma symptoms wheeze", US_national_yearly!$D:$AM, 19, FALSE) / VLOOKUP("transport|PM25|Asthma symptoms wheeze", US_national_yearly!$D:$AM, 10, FALSE), 1)</f>
        <v>4.5291859200829551E-2</v>
      </c>
      <c r="L8" s="7">
        <f>$B8 * IFERROR(VLOOKUP("transport|PM25|Asthma symptoms wheeze", US_national_yearly!$D:$AM, 20, FALSE) / VLOOKUP("transport|PM25|Asthma symptoms wheeze", US_national_yearly!$D:$AM, 10, FALSE), 1)</f>
        <v>4.5291859200829551E-2</v>
      </c>
      <c r="M8" s="7">
        <f>$B8 * IFERROR(VLOOKUP("transport|PM25|Asthma symptoms wheeze", US_national_yearly!$D:$AM, 21, FALSE) / VLOOKUP("transport|PM25|Asthma symptoms wheeze", US_national_yearly!$D:$AM, 10, FALSE), 1)</f>
        <v>4.5291859200829551E-2</v>
      </c>
      <c r="N8" s="7">
        <f>$B8 * IFERROR(VLOOKUP("transport|PM25|Asthma symptoms wheeze", US_national_yearly!$D:$AM, 22, FALSE) / VLOOKUP("transport|PM25|Asthma symptoms wheeze", US_national_yearly!$D:$AM, 10, FALSE), 1)</f>
        <v>4.5291859200829551E-2</v>
      </c>
      <c r="O8" s="7">
        <f>$B8 * IFERROR(VLOOKUP("transport|PM25|Asthma symptoms wheeze", US_national_yearly!$D:$AM, 23, FALSE) / VLOOKUP("transport|PM25|Asthma symptoms wheeze", US_national_yearly!$D:$AM, 10, FALSE), 1)</f>
        <v>4.5291859200829551E-2</v>
      </c>
      <c r="P8" s="7">
        <f>$B8 * IFERROR(VLOOKUP("transport|PM25|Asthma symptoms wheeze", US_national_yearly!$D:$AM, 24, FALSE) / VLOOKUP("transport|PM25|Asthma symptoms wheeze", US_national_yearly!$D:$AM, 10, FALSE), 1)</f>
        <v>4.5291859200829551E-2</v>
      </c>
      <c r="Q8" s="7">
        <f>$B8 * IFERROR(VLOOKUP("transport|PM25|Asthma symptoms wheeze", US_national_yearly!$D:$AM, 25, FALSE) / VLOOKUP("transport|PM25|Asthma symptoms wheeze", US_national_yearly!$D:$AM, 10, FALSE), 1)</f>
        <v>4.5291859200829551E-2</v>
      </c>
      <c r="R8" s="7">
        <f>$B8 * IFERROR(VLOOKUP("transport|PM25|Asthma symptoms wheeze", US_national_yearly!$D:$AM, 26, FALSE) / VLOOKUP("transport|PM25|Asthma symptoms wheeze", US_national_yearly!$D:$AM, 10, FALSE), 1)</f>
        <v>4.5291859200829551E-2</v>
      </c>
      <c r="S8" s="7">
        <f>$B8 * IFERROR(VLOOKUP("transport|PM25|Asthma symptoms wheeze", US_national_yearly!$D:$AM, 27, FALSE) / VLOOKUP("transport|PM25|Asthma symptoms wheeze", US_national_yearly!$D:$AM, 10, FALSE), 1)</f>
        <v>4.5291859200829551E-2</v>
      </c>
      <c r="T8" s="7">
        <f>$B8 * IFERROR(VLOOKUP("transport|PM25|Asthma symptoms wheeze", US_national_yearly!$D:$AM, 28, FALSE) / VLOOKUP("transport|PM25|Asthma symptoms wheeze", US_national_yearly!$D:$AM, 10, FALSE), 1)</f>
        <v>4.5291859200829551E-2</v>
      </c>
      <c r="U8" s="7">
        <f>$B8 * IFERROR(VLOOKUP("transport|PM25|Asthma symptoms wheeze", US_national_yearly!$D:$AM, 29, FALSE) / VLOOKUP("transport|PM25|Asthma symptoms wheeze", US_national_yearly!$D:$AM, 10, FALSE), 1)</f>
        <v>4.5291859200829551E-2</v>
      </c>
      <c r="V8" s="7">
        <f>$B8 * IFERROR(VLOOKUP("transport|PM25|Asthma symptoms wheeze", US_national_yearly!$D:$AM, 30, FALSE) / VLOOKUP("transport|PM25|Asthma symptoms wheeze", US_national_yearly!$D:$AM, 10, FALSE), 1)</f>
        <v>4.5291859200829551E-2</v>
      </c>
      <c r="W8" s="7">
        <f>$B8 * IFERROR(VLOOKUP("transport|PM25|Asthma symptoms wheeze", US_national_yearly!$D:$AM, 31, FALSE) / VLOOKUP("transport|PM25|Asthma symptoms wheeze", US_national_yearly!$D:$AM, 10, FALSE), 1)</f>
        <v>4.5291859200829551E-2</v>
      </c>
      <c r="X8" s="7">
        <f>$B8 * IFERROR(VLOOKUP("transport|PM25|Asthma symptoms wheeze", US_national_yearly!$D:$AM, 32, FALSE) / VLOOKUP("transport|PM25|Asthma symptoms wheeze", US_national_yearly!$D:$AM, 10, FALSE), 1)</f>
        <v>4.5291859200829551E-2</v>
      </c>
      <c r="Y8" s="7">
        <f>$B8 * IFERROR(VLOOKUP("transport|PM25|Asthma symptoms wheeze", US_national_yearly!$D:$AM, 33, FALSE) / VLOOKUP("transport|PM25|Asthma symptoms wheeze", US_national_yearly!$D:$AM, 10, FALSE), 1)</f>
        <v>4.5291859200829551E-2</v>
      </c>
      <c r="Z8" s="7">
        <f>$B8 * IFERROR(VLOOKUP("transport|PM25|Asthma symptoms wheeze", US_national_yearly!$D:$AM, 34, FALSE) / VLOOKUP("transport|PM25|Asthma symptoms wheeze", US_national_yearly!$D:$AM, 10, FALSE), 1)</f>
        <v>4.5291859200829551E-2</v>
      </c>
      <c r="AA8" s="7">
        <f>$B8 * IFERROR(VLOOKUP("transport|PM25|Asthma symptoms wheeze", US_national_yearly!$D:$AM, 35, FALSE) / VLOOKUP("transport|PM25|Asthma symptoms wheeze", US_national_yearly!$D:$AM, 10, FALSE), 1)</f>
        <v>4.5291859200829551E-2</v>
      </c>
      <c r="AB8" s="7">
        <f>$B8 * IFERROR(VLOOKUP("transport|PM25|Asthma symptoms wheeze", US_national_yearly!$D:$AM, 36, FALSE) / VLOOKUP("transport|PM25|Asthma symptoms wheeze", US_national_yearly!$D:$AM, 10, FALSE), 1)</f>
        <v>4.5291859200829551E-2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7.4333249584401415E-4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7.4759297810486169E-4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7.5185346036570901E-4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7.5611394262655644E-4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7.6037442488740377E-4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7.6497592746116439E-4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7.695774300349249E-4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7.739739909169099E-4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7.7837055179889533E-4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7.8276711268088054E-4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7.8716367356286587E-4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7.9156023444485097E-4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7.9471577448953965E-4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7.9787131453422822E-4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8.0102685457891668E-4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8.0418239462360524E-4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8.0733793466829403E-4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8.1034242458962824E-4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8.1334691451096267E-4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8.16351404432297E-4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8.1935589435363121E-4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8.2236038427496543E-4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8.2525074190507375E-4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8.2814109953518187E-4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8.3103145716528998E-4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8.3392181479539798E-4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8.368121724255062E-4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3.4967088517569469E-3</v>
      </c>
      <c r="C13" s="7">
        <f>$B13 * IFERROR(VLOOKUP("transport|PM25|Non-fatal heart attacks", US_national_yearly!$D:$AM, 11, FALSE) / VLOOKUP("transport|PM25|Non-fatal heart attacks", US_national_yearly!$D:$AM, 10, FALSE), 1)</f>
        <v>3.5983674572808099E-3</v>
      </c>
      <c r="D13" s="7">
        <f>$B13 * IFERROR(VLOOKUP("transport|PM25|Non-fatal heart attacks", US_national_yearly!$D:$AM, 12, FALSE) / VLOOKUP("transport|PM25|Non-fatal heart attacks", US_national_yearly!$D:$AM, 10, FALSE), 1)</f>
        <v>3.7000260628046724E-3</v>
      </c>
      <c r="E13" s="7">
        <f>$B13 * IFERROR(VLOOKUP("transport|PM25|Non-fatal heart attacks", US_national_yearly!$D:$AM, 13, FALSE) / VLOOKUP("transport|PM25|Non-fatal heart attacks", US_national_yearly!$D:$AM, 10, FALSE), 1)</f>
        <v>3.8016846683285345E-3</v>
      </c>
      <c r="F13" s="7">
        <f>$B13 * IFERROR(VLOOKUP("transport|PM25|Non-fatal heart attacks", US_national_yearly!$D:$AM, 14, FALSE) / VLOOKUP("transport|PM25|Non-fatal heart attacks", US_national_yearly!$D:$AM, 10, FALSE), 1)</f>
        <v>3.9033432738523983E-3</v>
      </c>
      <c r="G13" s="7">
        <f>$B13 * IFERROR(VLOOKUP("transport|PM25|Non-fatal heart attacks", US_national_yearly!$D:$AM, 15, FALSE) / VLOOKUP("transport|PM25|Non-fatal heart attacks", US_national_yearly!$D:$AM, 10, FALSE), 1)</f>
        <v>3.9992137655938459E-3</v>
      </c>
      <c r="H13" s="7">
        <f>$B13 * IFERROR(VLOOKUP("transport|PM25|Non-fatal heart attacks", US_national_yearly!$D:$AM, 16, FALSE) / VLOOKUP("transport|PM25|Non-fatal heart attacks", US_national_yearly!$D:$AM, 10, FALSE), 1)</f>
        <v>4.0950842573352934E-3</v>
      </c>
      <c r="I13" s="7">
        <f>$B13 * IFERROR(VLOOKUP("transport|PM25|Non-fatal heart attacks", US_national_yearly!$D:$AM, 17, FALSE) / VLOOKUP("transport|PM25|Non-fatal heart attacks", US_national_yearly!$D:$AM, 10, FALSE), 1)</f>
        <v>4.1721322313094016E-3</v>
      </c>
      <c r="J13" s="7">
        <f>$B13 * IFERROR(VLOOKUP("transport|PM25|Non-fatal heart attacks", US_national_yearly!$D:$AM, 18, FALSE) / VLOOKUP("transport|PM25|Non-fatal heart attacks", US_national_yearly!$D:$AM, 10, FALSE), 1)</f>
        <v>4.2491802052835098E-3</v>
      </c>
      <c r="K13" s="7">
        <f>$B13 * IFERROR(VLOOKUP("transport|PM25|Non-fatal heart attacks", US_national_yearly!$D:$AM, 19, FALSE) / VLOOKUP("transport|PM25|Non-fatal heart attacks", US_national_yearly!$D:$AM, 10, FALSE), 1)</f>
        <v>4.3262281792576197E-3</v>
      </c>
      <c r="L13" s="7">
        <f>$B13 * IFERROR(VLOOKUP("transport|PM25|Non-fatal heart attacks", US_national_yearly!$D:$AM, 20, FALSE) / VLOOKUP("transport|PM25|Non-fatal heart attacks", US_national_yearly!$D:$AM, 10, FALSE), 1)</f>
        <v>4.4032761532317279E-3</v>
      </c>
      <c r="M13" s="7">
        <f>$B13 * IFERROR(VLOOKUP("transport|PM25|Non-fatal heart attacks", US_national_yearly!$D:$AM, 21, FALSE) / VLOOKUP("transport|PM25|Non-fatal heart attacks", US_national_yearly!$D:$AM, 10, FALSE), 1)</f>
        <v>4.4803241272058369E-3</v>
      </c>
      <c r="N13" s="7">
        <f>$B13 * IFERROR(VLOOKUP("transport|PM25|Non-fatal heart attacks", US_national_yearly!$D:$AM, 22, FALSE) / VLOOKUP("transport|PM25|Non-fatal heart attacks", US_national_yearly!$D:$AM, 10, FALSE), 1)</f>
        <v>4.5300124622799885E-3</v>
      </c>
      <c r="O13" s="7">
        <f>$B13 * IFERROR(VLOOKUP("transport|PM25|Non-fatal heart attacks", US_national_yearly!$D:$AM, 23, FALSE) / VLOOKUP("transport|PM25|Non-fatal heart attacks", US_national_yearly!$D:$AM, 10, FALSE), 1)</f>
        <v>4.579700797354141E-3</v>
      </c>
      <c r="P13" s="7">
        <f>$B13 * IFERROR(VLOOKUP("transport|PM25|Non-fatal heart attacks", US_national_yearly!$D:$AM, 24, FALSE) / VLOOKUP("transport|PM25|Non-fatal heart attacks", US_national_yearly!$D:$AM, 10, FALSE), 1)</f>
        <v>4.6293891324282934E-3</v>
      </c>
      <c r="Q13" s="7">
        <f>$B13 * IFERROR(VLOOKUP("transport|PM25|Non-fatal heart attacks", US_national_yearly!$D:$AM, 25, FALSE) / VLOOKUP("transport|PM25|Non-fatal heart attacks", US_national_yearly!$D:$AM, 10, FALSE), 1)</f>
        <v>4.6790774675024458E-3</v>
      </c>
      <c r="R13" s="7">
        <f>$B13 * IFERROR(VLOOKUP("transport|PM25|Non-fatal heart attacks", US_national_yearly!$D:$AM, 26, FALSE) / VLOOKUP("transport|PM25|Non-fatal heart attacks", US_national_yearly!$D:$AM, 10, FALSE), 1)</f>
        <v>4.7287658025765983E-3</v>
      </c>
      <c r="S13" s="7">
        <f>$B13 * IFERROR(VLOOKUP("transport|PM25|Non-fatal heart attacks", US_national_yearly!$D:$AM, 27, FALSE) / VLOOKUP("transport|PM25|Non-fatal heart attacks", US_national_yearly!$D:$AM, 10, FALSE), 1)</f>
        <v>4.7549330994115452E-3</v>
      </c>
      <c r="T13" s="7">
        <f>$B13 * IFERROR(VLOOKUP("transport|PM25|Non-fatal heart attacks", US_national_yearly!$D:$AM, 28, FALSE) / VLOOKUP("transport|PM25|Non-fatal heart attacks", US_national_yearly!$D:$AM, 10, FALSE), 1)</f>
        <v>4.7811003962464948E-3</v>
      </c>
      <c r="U13" s="7">
        <f>$B13 * IFERROR(VLOOKUP("transport|PM25|Non-fatal heart attacks", US_national_yearly!$D:$AM, 29, FALSE) / VLOOKUP("transport|PM25|Non-fatal heart attacks", US_national_yearly!$D:$AM, 10, FALSE), 1)</f>
        <v>4.8072676930814434E-3</v>
      </c>
      <c r="V13" s="7">
        <f>$B13 * IFERROR(VLOOKUP("transport|PM25|Non-fatal heart attacks", US_national_yearly!$D:$AM, 30, FALSE) / VLOOKUP("transport|PM25|Non-fatal heart attacks", US_national_yearly!$D:$AM, 10, FALSE), 1)</f>
        <v>4.8334349899163921E-3</v>
      </c>
      <c r="W13" s="7">
        <f>$B13 * IFERROR(VLOOKUP("transport|PM25|Non-fatal heart attacks", US_national_yearly!$D:$AM, 31, FALSE) / VLOOKUP("transport|PM25|Non-fatal heart attacks", US_national_yearly!$D:$AM, 10, FALSE), 1)</f>
        <v>4.8596022867513399E-3</v>
      </c>
      <c r="X13" s="7">
        <f>$B13 * IFERROR(VLOOKUP("transport|PM25|Non-fatal heart attacks", US_national_yearly!$D:$AM, 32, FALSE) / VLOOKUP("transport|PM25|Non-fatal heart attacks", US_national_yearly!$D:$AM, 10, FALSE), 1)</f>
        <v>4.8794670487624257E-3</v>
      </c>
      <c r="Y13" s="7">
        <f>$B13 * IFERROR(VLOOKUP("transport|PM25|Non-fatal heart attacks", US_national_yearly!$D:$AM, 33, FALSE) / VLOOKUP("transport|PM25|Non-fatal heart attacks", US_national_yearly!$D:$AM, 10, FALSE), 1)</f>
        <v>4.8993318107735115E-3</v>
      </c>
      <c r="Z13" s="7">
        <f>$B13 * IFERROR(VLOOKUP("transport|PM25|Non-fatal heart attacks", US_national_yearly!$D:$AM, 34, FALSE) / VLOOKUP("transport|PM25|Non-fatal heart attacks", US_national_yearly!$D:$AM, 10, FALSE), 1)</f>
        <v>4.9191965727845965E-3</v>
      </c>
      <c r="AA13" s="7">
        <f>$B13 * IFERROR(VLOOKUP("transport|PM25|Non-fatal heart attacks", US_national_yearly!$D:$AM, 35, FALSE) / VLOOKUP("transport|PM25|Non-fatal heart attacks", US_national_yearly!$D:$AM, 10, FALSE), 1)</f>
        <v>4.9390613347956823E-3</v>
      </c>
      <c r="AB13" s="7">
        <f>$B13 * IFERROR(VLOOKUP("transport|PM25|Non-fatal heart attacks", US_national_yearly!$D:$AM, 36, FALSE) / VLOOKUP("transport|PM25|Non-fatal heart attacks", US_national_yearly!$D:$AM, 10, FALSE), 1)</f>
        <v>4.9589260968067681E-3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2.5529469738581287</v>
      </c>
      <c r="C14" s="7">
        <f>$B14 * IFERROR(VLOOKUP("transport|PM25|Minor restricted activity days", US_national_yearly!$D:$AM, 11, FALSE) / VLOOKUP("transport|PM25|Minor restricted activity days", US_national_yearly!$D:$AM, 10, FALSE), 1)</f>
        <v>2.5591815731245284</v>
      </c>
      <c r="D14" s="7">
        <f>$B14 * IFERROR(VLOOKUP("transport|PM25|Minor restricted activity days", US_national_yearly!$D:$AM, 12, FALSE) / VLOOKUP("transport|PM25|Minor restricted activity days", US_national_yearly!$D:$AM, 10, FALSE), 1)</f>
        <v>2.5654161723909277</v>
      </c>
      <c r="E14" s="7">
        <f>$B14 * IFERROR(VLOOKUP("transport|PM25|Minor restricted activity days", US_national_yearly!$D:$AM, 13, FALSE) / VLOOKUP("transport|PM25|Minor restricted activity days", US_national_yearly!$D:$AM, 10, FALSE), 1)</f>
        <v>2.5716507716573278</v>
      </c>
      <c r="F14" s="7">
        <f>$B14 * IFERROR(VLOOKUP("transport|PM25|Minor restricted activity days", US_national_yearly!$D:$AM, 14, FALSE) / VLOOKUP("transport|PM25|Minor restricted activity days", US_national_yearly!$D:$AM, 10, FALSE), 1)</f>
        <v>2.577885370923727</v>
      </c>
      <c r="G14" s="7">
        <f>$B14 * IFERROR(VLOOKUP("transport|PM25|Minor restricted activity days", US_national_yearly!$D:$AM, 15, FALSE) / VLOOKUP("transport|PM25|Minor restricted activity days", US_national_yearly!$D:$AM, 10, FALSE), 1)</f>
        <v>2.5870843355559128</v>
      </c>
      <c r="H14" s="7">
        <f>$B14 * IFERROR(VLOOKUP("transport|PM25|Minor restricted activity days", US_national_yearly!$D:$AM, 16, FALSE) / VLOOKUP("transport|PM25|Minor restricted activity days", US_national_yearly!$D:$AM, 10, FALSE), 1)</f>
        <v>2.5962833001880981</v>
      </c>
      <c r="I14" s="7">
        <f>$B14 * IFERROR(VLOOKUP("transport|PM25|Minor restricted activity days", US_national_yearly!$D:$AM, 17, FALSE) / VLOOKUP("transport|PM25|Minor restricted activity days", US_national_yearly!$D:$AM, 10, FALSE), 1)</f>
        <v>2.6120093172349037</v>
      </c>
      <c r="J14" s="7">
        <f>$B14 * IFERROR(VLOOKUP("transport|PM25|Minor restricted activity days", US_national_yearly!$D:$AM, 18, FALSE) / VLOOKUP("transport|PM25|Minor restricted activity days", US_national_yearly!$D:$AM, 10, FALSE), 1)</f>
        <v>2.627735334281708</v>
      </c>
      <c r="K14" s="7">
        <f>$B14 * IFERROR(VLOOKUP("transport|PM25|Minor restricted activity days", US_national_yearly!$D:$AM, 19, FALSE) / VLOOKUP("transport|PM25|Minor restricted activity days", US_national_yearly!$D:$AM, 10, FALSE), 1)</f>
        <v>2.6434613513285137</v>
      </c>
      <c r="L14" s="7">
        <f>$B14 * IFERROR(VLOOKUP("transport|PM25|Minor restricted activity days", US_national_yearly!$D:$AM, 20, FALSE) / VLOOKUP("transport|PM25|Minor restricted activity days", US_national_yearly!$D:$AM, 10, FALSE), 1)</f>
        <v>2.6591873683753184</v>
      </c>
      <c r="M14" s="7">
        <f>$B14 * IFERROR(VLOOKUP("transport|PM25|Minor restricted activity days", US_national_yearly!$D:$AM, 21, FALSE) / VLOOKUP("transport|PM25|Minor restricted activity days", US_national_yearly!$D:$AM, 10, FALSE), 1)</f>
        <v>2.6749133854221236</v>
      </c>
      <c r="N14" s="7">
        <f>$B14 * IFERROR(VLOOKUP("transport|PM25|Minor restricted activity days", US_national_yearly!$D:$AM, 22, FALSE) / VLOOKUP("transport|PM25|Minor restricted activity days", US_national_yearly!$D:$AM, 10, FALSE), 1)</f>
        <v>2.6963353516842981</v>
      </c>
      <c r="O14" s="7">
        <f>$B14 * IFERROR(VLOOKUP("transport|PM25|Minor restricted activity days", US_national_yearly!$D:$AM, 23, FALSE) / VLOOKUP("transport|PM25|Minor restricted activity days", US_national_yearly!$D:$AM, 10, FALSE), 1)</f>
        <v>2.7177573179464716</v>
      </c>
      <c r="P14" s="7">
        <f>$B14 * IFERROR(VLOOKUP("transport|PM25|Minor restricted activity days", US_national_yearly!$D:$AM, 24, FALSE) / VLOOKUP("transport|PM25|Minor restricted activity days", US_national_yearly!$D:$AM, 10, FALSE), 1)</f>
        <v>2.739179284208646</v>
      </c>
      <c r="Q14" s="7">
        <f>$B14 * IFERROR(VLOOKUP("transport|PM25|Minor restricted activity days", US_national_yearly!$D:$AM, 25, FALSE) / VLOOKUP("transport|PM25|Minor restricted activity days", US_national_yearly!$D:$AM, 10, FALSE), 1)</f>
        <v>2.7606012504708195</v>
      </c>
      <c r="R14" s="7">
        <f>$B14 * IFERROR(VLOOKUP("transport|PM25|Minor restricted activity days", US_national_yearly!$D:$AM, 26, FALSE) / VLOOKUP("transport|PM25|Minor restricted activity days", US_national_yearly!$D:$AM, 10, FALSE), 1)</f>
        <v>2.782023216732993</v>
      </c>
      <c r="S14" s="7">
        <f>$B14 * IFERROR(VLOOKUP("transport|PM25|Minor restricted activity days", US_national_yearly!$D:$AM, 27, FALSE) / VLOOKUP("transport|PM25|Minor restricted activity days", US_national_yearly!$D:$AM, 10, FALSE), 1)</f>
        <v>2.8035927090572779</v>
      </c>
      <c r="T14" s="7">
        <f>$B14 * IFERROR(VLOOKUP("transport|PM25|Minor restricted activity days", US_national_yearly!$D:$AM, 28, FALSE) / VLOOKUP("transport|PM25|Minor restricted activity days", US_national_yearly!$D:$AM, 10, FALSE), 1)</f>
        <v>2.8251622013815623</v>
      </c>
      <c r="U14" s="7">
        <f>$B14 * IFERROR(VLOOKUP("transport|PM25|Minor restricted activity days", US_national_yearly!$D:$AM, 29, FALSE) / VLOOKUP("transport|PM25|Minor restricted activity days", US_national_yearly!$D:$AM, 10, FALSE), 1)</f>
        <v>2.8467316937058467</v>
      </c>
      <c r="V14" s="7">
        <f>$B14 * IFERROR(VLOOKUP("transport|PM25|Minor restricted activity days", US_national_yearly!$D:$AM, 30, FALSE) / VLOOKUP("transport|PM25|Minor restricted activity days", US_national_yearly!$D:$AM, 10, FALSE), 1)</f>
        <v>2.8683011860301315</v>
      </c>
      <c r="W14" s="7">
        <f>$B14 * IFERROR(VLOOKUP("transport|PM25|Minor restricted activity days", US_national_yearly!$D:$AM, 31, FALSE) / VLOOKUP("transport|PM25|Minor restricted activity days", US_national_yearly!$D:$AM, 10, FALSE), 1)</f>
        <v>2.8898706783544159</v>
      </c>
      <c r="X14" s="7">
        <f>$B14 * IFERROR(VLOOKUP("transport|PM25|Minor restricted activity days", US_national_yearly!$D:$AM, 32, FALSE) / VLOOKUP("transport|PM25|Minor restricted activity days", US_national_yearly!$D:$AM, 10, FALSE), 1)</f>
        <v>2.9085951676241084</v>
      </c>
      <c r="Y14" s="7">
        <f>$B14 * IFERROR(VLOOKUP("transport|PM25|Minor restricted activity days", US_national_yearly!$D:$AM, 33, FALSE) / VLOOKUP("transport|PM25|Minor restricted activity days", US_national_yearly!$D:$AM, 10, FALSE), 1)</f>
        <v>2.9273196568938005</v>
      </c>
      <c r="Z14" s="7">
        <f>$B14 * IFERROR(VLOOKUP("transport|PM25|Minor restricted activity days", US_national_yearly!$D:$AM, 34, FALSE) / VLOOKUP("transport|PM25|Minor restricted activity days", US_national_yearly!$D:$AM, 10, FALSE), 1)</f>
        <v>2.946044146163493</v>
      </c>
      <c r="AA14" s="7">
        <f>$B14 * IFERROR(VLOOKUP("transport|PM25|Minor restricted activity days", US_national_yearly!$D:$AM, 35, FALSE) / VLOOKUP("transport|PM25|Minor restricted activity days", US_national_yearly!$D:$AM, 10, FALSE), 1)</f>
        <v>2.9647686354331846</v>
      </c>
      <c r="AB14" s="7">
        <f>$B14 * IFERROR(VLOOKUP("transport|PM25|Minor restricted activity days", US_national_yearly!$D:$AM, 36, FALSE) / VLOOKUP("transport|PM25|Minor restricted activity days", US_national_yearly!$D:$AM, 10, FALSE), 1)</f>
        <v>2.9834931247028771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0.43195950965666818</v>
      </c>
      <c r="C15" s="7">
        <f>$B15 * IFERROR(VLOOKUP("transport|PM25|Work loss days", US_national_yearly!$D:$AM, 11, FALSE) / VLOOKUP("transport|PM25|Work loss days", US_national_yearly!$D:$AM, 10, FALSE), 1)</f>
        <v>0.43329842855740375</v>
      </c>
      <c r="D15" s="7">
        <f>$B15 * IFERROR(VLOOKUP("transport|PM25|Work loss days", US_national_yearly!$D:$AM, 12, FALSE) / VLOOKUP("transport|PM25|Work loss days", US_national_yearly!$D:$AM, 10, FALSE), 1)</f>
        <v>0.43463734745813937</v>
      </c>
      <c r="E15" s="7">
        <f>$B15 * IFERROR(VLOOKUP("transport|PM25|Work loss days", US_national_yearly!$D:$AM, 13, FALSE) / VLOOKUP("transport|PM25|Work loss days", US_national_yearly!$D:$AM, 10, FALSE), 1)</f>
        <v>0.43597626635887488</v>
      </c>
      <c r="F15" s="7">
        <f>$B15 * IFERROR(VLOOKUP("transport|PM25|Work loss days", US_national_yearly!$D:$AM, 14, FALSE) / VLOOKUP("transport|PM25|Work loss days", US_national_yearly!$D:$AM, 10, FALSE), 1)</f>
        <v>0.43731518525961044</v>
      </c>
      <c r="G15" s="7">
        <f>$B15 * IFERROR(VLOOKUP("transport|PM25|Work loss days", US_national_yearly!$D:$AM, 15, FALSE) / VLOOKUP("transport|PM25|Work loss days", US_national_yearly!$D:$AM, 10, FALSE), 1)</f>
        <v>0.43907059337617393</v>
      </c>
      <c r="H15" s="7">
        <f>$B15 * IFERROR(VLOOKUP("transport|PM25|Work loss days", US_national_yearly!$D:$AM, 16, FALSE) / VLOOKUP("transport|PM25|Work loss days", US_national_yearly!$D:$AM, 10, FALSE), 1)</f>
        <v>0.44082600149273754</v>
      </c>
      <c r="I15" s="7">
        <f>$B15 * IFERROR(VLOOKUP("transport|PM25|Work loss days", US_national_yearly!$D:$AM, 17, FALSE) / VLOOKUP("transport|PM25|Work loss days", US_national_yearly!$D:$AM, 10, FALSE), 1)</f>
        <v>0.44341103301277734</v>
      </c>
      <c r="J15" s="7">
        <f>$B15 * IFERROR(VLOOKUP("transport|PM25|Work loss days", US_national_yearly!$D:$AM, 18, FALSE) / VLOOKUP("transport|PM25|Work loss days", US_national_yearly!$D:$AM, 10, FALSE), 1)</f>
        <v>0.44599606453281715</v>
      </c>
      <c r="K15" s="7">
        <f>$B15 * IFERROR(VLOOKUP("transport|PM25|Work loss days", US_national_yearly!$D:$AM, 19, FALSE) / VLOOKUP("transport|PM25|Work loss days", US_national_yearly!$D:$AM, 10, FALSE), 1)</f>
        <v>0.44858109605285695</v>
      </c>
      <c r="L15" s="7">
        <f>$B15 * IFERROR(VLOOKUP("transport|PM25|Work loss days", US_national_yearly!$D:$AM, 20, FALSE) / VLOOKUP("transport|PM25|Work loss days", US_national_yearly!$D:$AM, 10, FALSE), 1)</f>
        <v>0.45116612757289676</v>
      </c>
      <c r="M15" s="7">
        <f>$B15 * IFERROR(VLOOKUP("transport|PM25|Work loss days", US_national_yearly!$D:$AM, 21, FALSE) / VLOOKUP("transport|PM25|Work loss days", US_national_yearly!$D:$AM, 10, FALSE), 1)</f>
        <v>0.45375115909293656</v>
      </c>
      <c r="N15" s="7">
        <f>$B15 * IFERROR(VLOOKUP("transport|PM25|Work loss days", US_national_yearly!$D:$AM, 22, FALSE) / VLOOKUP("transport|PM25|Work loss days", US_national_yearly!$D:$AM, 10, FALSE), 1)</f>
        <v>0.4570046169188432</v>
      </c>
      <c r="O15" s="7">
        <f>$B15 * IFERROR(VLOOKUP("transport|PM25|Work loss days", US_national_yearly!$D:$AM, 23, FALSE) / VLOOKUP("transport|PM25|Work loss days", US_national_yearly!$D:$AM, 10, FALSE), 1)</f>
        <v>0.46025807474474972</v>
      </c>
      <c r="P15" s="7">
        <f>$B15 * IFERROR(VLOOKUP("transport|PM25|Work loss days", US_national_yearly!$D:$AM, 24, FALSE) / VLOOKUP("transport|PM25|Work loss days", US_national_yearly!$D:$AM, 10, FALSE), 1)</f>
        <v>0.4635115325706563</v>
      </c>
      <c r="Q15" s="7">
        <f>$B15 * IFERROR(VLOOKUP("transport|PM25|Work loss days", US_national_yearly!$D:$AM, 25, FALSE) / VLOOKUP("transport|PM25|Work loss days", US_national_yearly!$D:$AM, 10, FALSE), 1)</f>
        <v>0.46676499039656283</v>
      </c>
      <c r="R15" s="7">
        <f>$B15 * IFERROR(VLOOKUP("transport|PM25|Work loss days", US_national_yearly!$D:$AM, 26, FALSE) / VLOOKUP("transport|PM25|Work loss days", US_national_yearly!$D:$AM, 10, FALSE), 1)</f>
        <v>0.47001844822246946</v>
      </c>
      <c r="S15" s="7">
        <f>$B15 * IFERROR(VLOOKUP("transport|PM25|Work loss days", US_national_yearly!$D:$AM, 27, FALSE) / VLOOKUP("transport|PM25|Work loss days", US_national_yearly!$D:$AM, 10, FALSE), 1)</f>
        <v>0.47361691147927121</v>
      </c>
      <c r="T15" s="7">
        <f>$B15 * IFERROR(VLOOKUP("transport|PM25|Work loss days", US_national_yearly!$D:$AM, 28, FALSE) / VLOOKUP("transport|PM25|Work loss days", US_national_yearly!$D:$AM, 10, FALSE), 1)</f>
        <v>0.47721537473607306</v>
      </c>
      <c r="U15" s="7">
        <f>$B15 * IFERROR(VLOOKUP("transport|PM25|Work loss days", US_national_yearly!$D:$AM, 29, FALSE) / VLOOKUP("transport|PM25|Work loss days", US_national_yearly!$D:$AM, 10, FALSE), 1)</f>
        <v>0.48081383799287469</v>
      </c>
      <c r="V15" s="7">
        <f>$B15 * IFERROR(VLOOKUP("transport|PM25|Work loss days", US_national_yearly!$D:$AM, 30, FALSE) / VLOOKUP("transport|PM25|Work loss days", US_national_yearly!$D:$AM, 10, FALSE), 1)</f>
        <v>0.48441230124967655</v>
      </c>
      <c r="W15" s="7">
        <f>$B15 * IFERROR(VLOOKUP("transport|PM25|Work loss days", US_national_yearly!$D:$AM, 31, FALSE) / VLOOKUP("transport|PM25|Work loss days", US_national_yearly!$D:$AM, 10, FALSE), 1)</f>
        <v>0.48801076450647829</v>
      </c>
      <c r="X15" s="7">
        <f>$B15 * IFERROR(VLOOKUP("transport|PM25|Work loss days", US_national_yearly!$D:$AM, 32, FALSE) / VLOOKUP("transport|PM25|Work loss days", US_national_yearly!$D:$AM, 10, FALSE), 1)</f>
        <v>0.49120357193383679</v>
      </c>
      <c r="Y15" s="7">
        <f>$B15 * IFERROR(VLOOKUP("transport|PM25|Work loss days", US_national_yearly!$D:$AM, 33, FALSE) / VLOOKUP("transport|PM25|Work loss days", US_national_yearly!$D:$AM, 10, FALSE), 1)</f>
        <v>0.49439637936119535</v>
      </c>
      <c r="Z15" s="7">
        <f>$B15 * IFERROR(VLOOKUP("transport|PM25|Work loss days", US_national_yearly!$D:$AM, 34, FALSE) / VLOOKUP("transport|PM25|Work loss days", US_national_yearly!$D:$AM, 10, FALSE), 1)</f>
        <v>0.49758918678855396</v>
      </c>
      <c r="AA15" s="7">
        <f>$B15 * IFERROR(VLOOKUP("transport|PM25|Work loss days", US_national_yearly!$D:$AM, 35, FALSE) / VLOOKUP("transport|PM25|Work loss days", US_national_yearly!$D:$AM, 10, FALSE), 1)</f>
        <v>0.50078199421591263</v>
      </c>
      <c r="AB15" s="7">
        <f>$B15 * IFERROR(VLOOKUP("transport|PM25|Work loss days", US_national_yearly!$D:$AM, 36, FALSE) / VLOOKUP("transport|PM25|Work loss days", US_national_yearly!$D:$AM, 10, FALSE), 1)</f>
        <v>0.50397480164327113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6.6423584372851305E-4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6.8408367392197133E-4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7.0393150411542972E-4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7.2377933430888811E-4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7.436271645023466E-4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7.6263784047426748E-4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7.8164851644618868E-4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7.9790749026532621E-4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8.1416646408446374E-4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8.3042543790360116E-4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8.4668441172273891E-4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8.6294338554187644E-4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8.7378361460114303E-4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8.8462384366040973E-4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8.9546407271967631E-4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9.0630430177894301E-4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9.171445308382096E-4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9.2288002406593214E-4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9.2861551729365446E-4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9.3435101052137667E-4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9.4008650374909899E-4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9.4582199697682131E-4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9.4968320646223066E-4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9.535444159476399E-4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9.5740562543304914E-4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9.6126683491845838E-4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9.6512804440386762E-4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2.9432790663196209E-4</v>
      </c>
      <c r="C2" s="7">
        <f>$B2 * IFERROR(VLOOKUP("transport|NOx|Premature mortality", US_national_yearly!$D:$AM, 11, FALSE) / VLOOKUP("transport|NOx|Premature mortality", US_national_yearly!$D:$AM, 10, FALSE), 1)</f>
        <v>2.9865108609167815E-4</v>
      </c>
      <c r="D2" s="7">
        <f>$B2 * IFERROR(VLOOKUP("transport|NOx|Premature mortality", US_national_yearly!$D:$AM, 12, FALSE) / VLOOKUP("transport|NOx|Premature mortality", US_national_yearly!$D:$AM, 10, FALSE), 1)</f>
        <v>3.0297426555139415E-4</v>
      </c>
      <c r="E2" s="7">
        <f>$B2 * IFERROR(VLOOKUP("transport|NOx|Premature mortality", US_national_yearly!$D:$AM, 13, FALSE) / VLOOKUP("transport|NOx|Premature mortality", US_national_yearly!$D:$AM, 10, FALSE), 1)</f>
        <v>3.0729744501111021E-4</v>
      </c>
      <c r="F2" s="7">
        <f>$B2 * IFERROR(VLOOKUP("transport|NOx|Premature mortality", US_national_yearly!$D:$AM, 14, FALSE) / VLOOKUP("transport|NOx|Premature mortality", US_national_yearly!$D:$AM, 10, FALSE), 1)</f>
        <v>3.1162062447082626E-4</v>
      </c>
      <c r="G2" s="7">
        <f>$B2 * IFERROR(VLOOKUP("transport|NOx|Premature mortality", US_national_yearly!$D:$AM, 15, FALSE) / VLOOKUP("transport|NOx|Premature mortality", US_national_yearly!$D:$AM, 10, FALSE), 1)</f>
        <v>3.1938607688474017E-4</v>
      </c>
      <c r="H2" s="7">
        <f>$B2 * IFERROR(VLOOKUP("transport|NOx|Premature mortality", US_national_yearly!$D:$AM, 16, FALSE) / VLOOKUP("transport|NOx|Premature mortality", US_national_yearly!$D:$AM, 10, FALSE), 1)</f>
        <v>3.2715152929865425E-4</v>
      </c>
      <c r="I2" s="7">
        <f>$B2 * IFERROR(VLOOKUP("transport|NOx|Premature mortality", US_national_yearly!$D:$AM, 17, FALSE) / VLOOKUP("transport|NOx|Premature mortality", US_national_yearly!$D:$AM, 10, FALSE), 1)</f>
        <v>3.321642761318681E-4</v>
      </c>
      <c r="J2" s="7">
        <f>$B2 * IFERROR(VLOOKUP("transport|NOx|Premature mortality", US_national_yearly!$D:$AM, 18, FALSE) / VLOOKUP("transport|NOx|Premature mortality", US_national_yearly!$D:$AM, 10, FALSE), 1)</f>
        <v>3.3717702296508207E-4</v>
      </c>
      <c r="K2" s="7">
        <f>$B2 * IFERROR(VLOOKUP("transport|NOx|Premature mortality", US_national_yearly!$D:$AM, 19, FALSE) / VLOOKUP("transport|NOx|Premature mortality", US_national_yearly!$D:$AM, 10, FALSE), 1)</f>
        <v>3.4218976979829592E-4</v>
      </c>
      <c r="L2" s="7">
        <f>$B2 * IFERROR(VLOOKUP("transport|NOx|Premature mortality", US_national_yearly!$D:$AM, 20, FALSE) / VLOOKUP("transport|NOx|Premature mortality", US_national_yearly!$D:$AM, 10, FALSE), 1)</f>
        <v>3.4720251663150978E-4</v>
      </c>
      <c r="M2" s="7">
        <f>$B2 * IFERROR(VLOOKUP("transport|NOx|Premature mortality", US_national_yearly!$D:$AM, 21, FALSE) / VLOOKUP("transport|NOx|Premature mortality", US_national_yearly!$D:$AM, 10, FALSE), 1)</f>
        <v>3.5221526346472369E-4</v>
      </c>
      <c r="N2" s="7">
        <f>$B2 * IFERROR(VLOOKUP("transport|NOx|Premature mortality", US_national_yearly!$D:$AM, 22, FALSE) / VLOOKUP("transport|NOx|Premature mortality", US_national_yearly!$D:$AM, 10, FALSE), 1)</f>
        <v>3.5592868683149618E-4</v>
      </c>
      <c r="O2" s="7">
        <f>$B2 * IFERROR(VLOOKUP("transport|NOx|Premature mortality", US_national_yearly!$D:$AM, 23, FALSE) / VLOOKUP("transport|NOx|Premature mortality", US_national_yearly!$D:$AM, 10, FALSE), 1)</f>
        <v>3.5964211019826867E-4</v>
      </c>
      <c r="P2" s="7">
        <f>$B2 * IFERROR(VLOOKUP("transport|NOx|Premature mortality", US_national_yearly!$D:$AM, 24, FALSE) / VLOOKUP("transport|NOx|Premature mortality", US_national_yearly!$D:$AM, 10, FALSE), 1)</f>
        <v>3.6335553356504116E-4</v>
      </c>
      <c r="Q2" s="7">
        <f>$B2 * IFERROR(VLOOKUP("transport|NOx|Premature mortality", US_national_yearly!$D:$AM, 25, FALSE) / VLOOKUP("transport|NOx|Premature mortality", US_national_yearly!$D:$AM, 10, FALSE), 1)</f>
        <v>3.670689569318137E-4</v>
      </c>
      <c r="R2" s="7">
        <f>$B2 * IFERROR(VLOOKUP("transport|NOx|Premature mortality", US_national_yearly!$D:$AM, 26, FALSE) / VLOOKUP("transport|NOx|Premature mortality", US_national_yearly!$D:$AM, 10, FALSE), 1)</f>
        <v>3.7078238029858614E-4</v>
      </c>
      <c r="S2" s="7">
        <f>$B2 * IFERROR(VLOOKUP("transport|NOx|Premature mortality", US_national_yearly!$D:$AM, 27, FALSE) / VLOOKUP("transport|NOx|Premature mortality", US_national_yearly!$D:$AM, 10, FALSE), 1)</f>
        <v>3.724701686124606E-4</v>
      </c>
      <c r="T2" s="7">
        <f>$B2 * IFERROR(VLOOKUP("transport|NOx|Premature mortality", US_national_yearly!$D:$AM, 28, FALSE) / VLOOKUP("transport|NOx|Premature mortality", US_national_yearly!$D:$AM, 10, FALSE), 1)</f>
        <v>3.7415795692633512E-4</v>
      </c>
      <c r="U2" s="7">
        <f>$B2 * IFERROR(VLOOKUP("transport|NOx|Premature mortality", US_national_yearly!$D:$AM, 29, FALSE) / VLOOKUP("transport|NOx|Premature mortality", US_national_yearly!$D:$AM, 10, FALSE), 1)</f>
        <v>3.7584574524020958E-4</v>
      </c>
      <c r="V2" s="7">
        <f>$B2 * IFERROR(VLOOKUP("transport|NOx|Premature mortality", US_national_yearly!$D:$AM, 30, FALSE) / VLOOKUP("transport|NOx|Premature mortality", US_national_yearly!$D:$AM, 10, FALSE), 1)</f>
        <v>3.7753353355408404E-4</v>
      </c>
      <c r="W2" s="7">
        <f>$B2 * IFERROR(VLOOKUP("transport|NOx|Premature mortality", US_national_yearly!$D:$AM, 31, FALSE) / VLOOKUP("transport|NOx|Premature mortality", US_national_yearly!$D:$AM, 10, FALSE), 1)</f>
        <v>3.7922132186795856E-4</v>
      </c>
      <c r="X2" s="7">
        <f>$B2 * IFERROR(VLOOKUP("transport|NOx|Premature mortality", US_national_yearly!$D:$AM, 32, FALSE) / VLOOKUP("transport|NOx|Premature mortality", US_national_yearly!$D:$AM, 10, FALSE), 1)</f>
        <v>3.7927978588635295E-4</v>
      </c>
      <c r="Y2" s="7">
        <f>$B2 * IFERROR(VLOOKUP("transport|NOx|Premature mortality", US_national_yearly!$D:$AM, 33, FALSE) / VLOOKUP("transport|NOx|Premature mortality", US_national_yearly!$D:$AM, 10, FALSE), 1)</f>
        <v>3.7933824990474735E-4</v>
      </c>
      <c r="Z2" s="7">
        <f>$B2 * IFERROR(VLOOKUP("transport|NOx|Premature mortality", US_national_yearly!$D:$AM, 34, FALSE) / VLOOKUP("transport|NOx|Premature mortality", US_national_yearly!$D:$AM, 10, FALSE), 1)</f>
        <v>3.7939671392314163E-4</v>
      </c>
      <c r="AA2" s="7">
        <f>$B2 * IFERROR(VLOOKUP("transport|NOx|Premature mortality", US_national_yearly!$D:$AM, 35, FALSE) / VLOOKUP("transport|NOx|Premature mortality", US_national_yearly!$D:$AM, 10, FALSE), 1)</f>
        <v>3.7945517794153608E-4</v>
      </c>
      <c r="AB2" s="7">
        <f>$B2 * IFERROR(VLOOKUP("transport|NOx|Premature mortality", US_national_yearly!$D:$AM, 36, FALSE) / VLOOKUP("transport|NOx|Premature mortality", US_national_yearly!$D:$AM, 10, FALSE), 1)</f>
        <v>3.7951364195993047E-4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6.2815623006543088E-7</v>
      </c>
      <c r="C3" s="7">
        <f>$B3 * IFERROR(VLOOKUP("transport|NOx|Infant mortality", US_national_yearly!$D:$AM, 11, FALSE) / VLOOKUP("transport|NOx|Infant mortality", US_national_yearly!$D:$AM, 10, FALSE), 1)</f>
        <v>6.2217144132990621E-7</v>
      </c>
      <c r="D3" s="7">
        <f>$B3 * IFERROR(VLOOKUP("transport|NOx|Infant mortality", US_national_yearly!$D:$AM, 12, FALSE) / VLOOKUP("transport|NOx|Infant mortality", US_national_yearly!$D:$AM, 10, FALSE), 1)</f>
        <v>6.1618665259438143E-7</v>
      </c>
      <c r="E3" s="7">
        <f>$B3 * IFERROR(VLOOKUP("transport|NOx|Infant mortality", US_national_yearly!$D:$AM, 13, FALSE) / VLOOKUP("transport|NOx|Infant mortality", US_national_yearly!$D:$AM, 10, FALSE), 1)</f>
        <v>6.1020186385885666E-7</v>
      </c>
      <c r="F3" s="7">
        <f>$B3 * IFERROR(VLOOKUP("transport|NOx|Infant mortality", US_national_yearly!$D:$AM, 14, FALSE) / VLOOKUP("transport|NOx|Infant mortality", US_national_yearly!$D:$AM, 10, FALSE), 1)</f>
        <v>6.0421707512333199E-7</v>
      </c>
      <c r="G3" s="7">
        <f>$B3 * IFERROR(VLOOKUP("transport|NOx|Infant mortality", US_national_yearly!$D:$AM, 15, FALSE) / VLOOKUP("transport|NOx|Infant mortality", US_national_yearly!$D:$AM, 10, FALSE), 1)</f>
        <v>4.0110913129976765E-7</v>
      </c>
      <c r="H3" s="7">
        <f>$B3 * IFERROR(VLOOKUP("transport|NOx|Infant mortality", US_national_yearly!$D:$AM, 16, FALSE) / VLOOKUP("transport|NOx|Infant mortality", US_national_yearly!$D:$AM, 10, FALSE), 1)</f>
        <v>1.9800118747620337E-7</v>
      </c>
      <c r="I3" s="7">
        <f>$B3 * IFERROR(VLOOKUP("transport|NOx|Infant mortality", US_national_yearly!$D:$AM, 17, FALSE) / VLOOKUP("transport|NOx|Infant mortality", US_national_yearly!$D:$AM, 10, FALSE), 1)</f>
        <v>1.9660113002844244E-7</v>
      </c>
      <c r="J3" s="7">
        <f>$B3 * IFERROR(VLOOKUP("transport|NOx|Infant mortality", US_national_yearly!$D:$AM, 18, FALSE) / VLOOKUP("transport|NOx|Infant mortality", US_national_yearly!$D:$AM, 10, FALSE), 1)</f>
        <v>1.9520107258068145E-7</v>
      </c>
      <c r="K3" s="7">
        <f>$B3 * IFERROR(VLOOKUP("transport|NOx|Infant mortality", US_national_yearly!$D:$AM, 19, FALSE) / VLOOKUP("transport|NOx|Infant mortality", US_national_yearly!$D:$AM, 10, FALSE), 1)</f>
        <v>1.9380101513292052E-7</v>
      </c>
      <c r="L3" s="7">
        <f>$B3 * IFERROR(VLOOKUP("transport|NOx|Infant mortality", US_national_yearly!$D:$AM, 20, FALSE) / VLOOKUP("transport|NOx|Infant mortality", US_national_yearly!$D:$AM, 10, FALSE), 1)</f>
        <v>1.9240095768515958E-7</v>
      </c>
      <c r="M3" s="7">
        <f>$B3 * IFERROR(VLOOKUP("transport|NOx|Infant mortality", US_national_yearly!$D:$AM, 21, FALSE) / VLOOKUP("transport|NOx|Infant mortality", US_national_yearly!$D:$AM, 10, FALSE), 1)</f>
        <v>1.910009002373986E-7</v>
      </c>
      <c r="N3" s="7">
        <f>$B3 * IFERROR(VLOOKUP("transport|NOx|Infant mortality", US_national_yearly!$D:$AM, 22, FALSE) / VLOOKUP("transport|NOx|Infant mortality", US_national_yearly!$D:$AM, 10, FALSE), 1)</f>
        <v>1.900716006434554E-7</v>
      </c>
      <c r="O3" s="7">
        <f>$B3 * IFERROR(VLOOKUP("transport|NOx|Infant mortality", US_national_yearly!$D:$AM, 23, FALSE) / VLOOKUP("transport|NOx|Infant mortality", US_national_yearly!$D:$AM, 10, FALSE), 1)</f>
        <v>1.8914230104951219E-7</v>
      </c>
      <c r="P3" s="7">
        <f>$B3 * IFERROR(VLOOKUP("transport|NOx|Infant mortality", US_national_yearly!$D:$AM, 24, FALSE) / VLOOKUP("transport|NOx|Infant mortality", US_national_yearly!$D:$AM, 10, FALSE), 1)</f>
        <v>1.8821300145556899E-7</v>
      </c>
      <c r="Q3" s="7">
        <f>$B3 * IFERROR(VLOOKUP("transport|NOx|Infant mortality", US_national_yearly!$D:$AM, 25, FALSE) / VLOOKUP("transport|NOx|Infant mortality", US_national_yearly!$D:$AM, 10, FALSE), 1)</f>
        <v>1.8728370186162576E-7</v>
      </c>
      <c r="R3" s="7">
        <f>$B3 * IFERROR(VLOOKUP("transport|NOx|Infant mortality", US_national_yearly!$D:$AM, 26, FALSE) / VLOOKUP("transport|NOx|Infant mortality", US_national_yearly!$D:$AM, 10, FALSE), 1)</f>
        <v>1.8635440226768256E-7</v>
      </c>
      <c r="S3" s="7">
        <f>$B3 * IFERROR(VLOOKUP("transport|NOx|Infant mortality", US_national_yearly!$D:$AM, 27, FALSE) / VLOOKUP("transport|NOx|Infant mortality", US_national_yearly!$D:$AM, 10, FALSE), 1)</f>
        <v>1.8523723637498613E-7</v>
      </c>
      <c r="T3" s="7">
        <f>$B3 * IFERROR(VLOOKUP("transport|NOx|Infant mortality", US_national_yearly!$D:$AM, 28, FALSE) / VLOOKUP("transport|NOx|Infant mortality", US_national_yearly!$D:$AM, 10, FALSE), 1)</f>
        <v>1.8412007048228968E-7</v>
      </c>
      <c r="U3" s="7">
        <f>$B3 * IFERROR(VLOOKUP("transport|NOx|Infant mortality", US_national_yearly!$D:$AM, 29, FALSE) / VLOOKUP("transport|NOx|Infant mortality", US_national_yearly!$D:$AM, 10, FALSE), 1)</f>
        <v>1.8300290458959325E-7</v>
      </c>
      <c r="V3" s="7">
        <f>$B3 * IFERROR(VLOOKUP("transport|NOx|Infant mortality", US_national_yearly!$D:$AM, 30, FALSE) / VLOOKUP("transport|NOx|Infant mortality", US_national_yearly!$D:$AM, 10, FALSE), 1)</f>
        <v>1.8188573869689683E-7</v>
      </c>
      <c r="W3" s="7">
        <f>$B3 * IFERROR(VLOOKUP("transport|NOx|Infant mortality", US_national_yearly!$D:$AM, 31, FALSE) / VLOOKUP("transport|NOx|Infant mortality", US_national_yearly!$D:$AM, 10, FALSE), 1)</f>
        <v>1.807685728042004E-7</v>
      </c>
      <c r="X3" s="7">
        <f>$B3 * IFERROR(VLOOKUP("transport|NOx|Infant mortality", US_national_yearly!$D:$AM, 32, FALSE) / VLOOKUP("transport|NOx|Infant mortality", US_national_yearly!$D:$AM, 10, FALSE), 1)</f>
        <v>1.7958544009989728E-7</v>
      </c>
      <c r="Y3" s="7">
        <f>$B3 * IFERROR(VLOOKUP("transport|NOx|Infant mortality", US_national_yearly!$D:$AM, 33, FALSE) / VLOOKUP("transport|NOx|Infant mortality", US_national_yearly!$D:$AM, 10, FALSE), 1)</f>
        <v>1.7840230739559413E-7</v>
      </c>
      <c r="Z3" s="7">
        <f>$B3 * IFERROR(VLOOKUP("transport|NOx|Infant mortality", US_national_yearly!$D:$AM, 34, FALSE) / VLOOKUP("transport|NOx|Infant mortality", US_national_yearly!$D:$AM, 10, FALSE), 1)</f>
        <v>1.7721917469129097E-7</v>
      </c>
      <c r="AA3" s="7">
        <f>$B3 * IFERROR(VLOOKUP("transport|NOx|Infant mortality", US_national_yearly!$D:$AM, 35, FALSE) / VLOOKUP("transport|NOx|Infant mortality", US_national_yearly!$D:$AM, 10, FALSE), 1)</f>
        <v>1.760360419869878E-7</v>
      </c>
      <c r="AB3" s="7">
        <f>$B3 * IFERROR(VLOOKUP("transport|NOx|Infant mortality", US_national_yearly!$D:$AM, 36, FALSE) / VLOOKUP("transport|NOx|Infant mortality", US_national_yearly!$D:$AM, 10, FALSE), 1)</f>
        <v>1.7485290928268464E-7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7.6856127039689158E-4</v>
      </c>
      <c r="C6" s="7">
        <f>$B6 * IFERROR(VLOOKUP("transport|NOx|Asthma symptoms cough", US_national_yearly!$D:$AM, 11, FALSE) / VLOOKUP("transport|NOx|Asthma symptoms cough", US_national_yearly!$D:$AM, 10, FALSE), 1)</f>
        <v>7.7906875951115422E-4</v>
      </c>
      <c r="D6" s="7">
        <f>$B6 * IFERROR(VLOOKUP("transport|NOx|Asthma symptoms cough", US_national_yearly!$D:$AM, 12, FALSE) / VLOOKUP("transport|NOx|Asthma symptoms cough", US_national_yearly!$D:$AM, 10, FALSE), 1)</f>
        <v>7.8957624862541675E-4</v>
      </c>
      <c r="E6" s="7">
        <f>$B6 * IFERROR(VLOOKUP("transport|NOx|Asthma symptoms cough", US_national_yearly!$D:$AM, 13, FALSE) / VLOOKUP("transport|NOx|Asthma symptoms cough", US_national_yearly!$D:$AM, 10, FALSE), 1)</f>
        <v>8.0008373773967939E-4</v>
      </c>
      <c r="F6" s="7">
        <f>$B6 * IFERROR(VLOOKUP("transport|NOx|Asthma symptoms cough", US_national_yearly!$D:$AM, 14, FALSE) / VLOOKUP("transport|NOx|Asthma symptoms cough", US_national_yearly!$D:$AM, 10, FALSE), 1)</f>
        <v>8.1059122685394204E-4</v>
      </c>
      <c r="G6" s="7">
        <f>$B6 * IFERROR(VLOOKUP("transport|NOx|Asthma symptoms cough", US_national_yearly!$D:$AM, 15, FALSE) / VLOOKUP("transport|NOx|Asthma symptoms cough", US_national_yearly!$D:$AM, 10, FALSE), 1)</f>
        <v>8.1897998858927626E-4</v>
      </c>
      <c r="H6" s="7">
        <f>$B6 * IFERROR(VLOOKUP("transport|NOx|Asthma symptoms cough", US_national_yearly!$D:$AM, 16, FALSE) / VLOOKUP("transport|NOx|Asthma symptoms cough", US_national_yearly!$D:$AM, 10, FALSE), 1)</f>
        <v>8.2736875032461059E-4</v>
      </c>
      <c r="I6" s="7">
        <f>$B6 * IFERROR(VLOOKUP("transport|NOx|Asthma symptoms cough", US_national_yearly!$D:$AM, 17, FALSE) / VLOOKUP("transport|NOx|Asthma symptoms cough", US_national_yearly!$D:$AM, 10, FALSE), 1)</f>
        <v>8.3025604219026108E-4</v>
      </c>
      <c r="J6" s="7">
        <f>$B6 * IFERROR(VLOOKUP("transport|NOx|Asthma symptoms cough", US_national_yearly!$D:$AM, 18, FALSE) / VLOOKUP("transport|NOx|Asthma symptoms cough", US_national_yearly!$D:$AM, 10, FALSE), 1)</f>
        <v>8.3314333405591168E-4</v>
      </c>
      <c r="K6" s="7">
        <f>$B6 * IFERROR(VLOOKUP("transport|NOx|Asthma symptoms cough", US_national_yearly!$D:$AM, 19, FALSE) / VLOOKUP("transport|NOx|Asthma symptoms cough", US_national_yearly!$D:$AM, 10, FALSE), 1)</f>
        <v>8.3603062592156217E-4</v>
      </c>
      <c r="L6" s="7">
        <f>$B6 * IFERROR(VLOOKUP("transport|NOx|Asthma symptoms cough", US_national_yearly!$D:$AM, 20, FALSE) / VLOOKUP("transport|NOx|Asthma symptoms cough", US_national_yearly!$D:$AM, 10, FALSE), 1)</f>
        <v>8.3891791778721266E-4</v>
      </c>
      <c r="M6" s="7">
        <f>$B6 * IFERROR(VLOOKUP("transport|NOx|Asthma symptoms cough", US_national_yearly!$D:$AM, 21, FALSE) / VLOOKUP("transport|NOx|Asthma symptoms cough", US_national_yearly!$D:$AM, 10, FALSE), 1)</f>
        <v>8.4180520965286326E-4</v>
      </c>
      <c r="N6" s="7">
        <f>$B6 * IFERROR(VLOOKUP("transport|NOx|Asthma symptoms cough", US_national_yearly!$D:$AM, 22, FALSE) / VLOOKUP("transport|NOx|Asthma symptoms cough", US_national_yearly!$D:$AM, 10, FALSE), 1)</f>
        <v>8.4515323957982686E-4</v>
      </c>
      <c r="O6" s="7">
        <f>$B6 * IFERROR(VLOOKUP("transport|NOx|Asthma symptoms cough", US_national_yearly!$D:$AM, 23, FALSE) / VLOOKUP("transport|NOx|Asthma symptoms cough", US_national_yearly!$D:$AM, 10, FALSE), 1)</f>
        <v>8.4850126950679046E-4</v>
      </c>
      <c r="P6" s="7">
        <f>$B6 * IFERROR(VLOOKUP("transport|NOx|Asthma symptoms cough", US_national_yearly!$D:$AM, 24, FALSE) / VLOOKUP("transport|NOx|Asthma symptoms cough", US_national_yearly!$D:$AM, 10, FALSE), 1)</f>
        <v>8.5184929943375395E-4</v>
      </c>
      <c r="Q6" s="7">
        <f>$B6 * IFERROR(VLOOKUP("transport|NOx|Asthma symptoms cough", US_national_yearly!$D:$AM, 25, FALSE) / VLOOKUP("transport|NOx|Asthma symptoms cough", US_national_yearly!$D:$AM, 10, FALSE), 1)</f>
        <v>8.5519732936071777E-4</v>
      </c>
      <c r="R6" s="7">
        <f>$B6 * IFERROR(VLOOKUP("transport|NOx|Asthma symptoms cough", US_national_yearly!$D:$AM, 26, FALSE) / VLOOKUP("transport|NOx|Asthma symptoms cough", US_national_yearly!$D:$AM, 10, FALSE), 1)</f>
        <v>8.5854535928768137E-4</v>
      </c>
      <c r="S6" s="7">
        <f>$B6 * IFERROR(VLOOKUP("transport|NOx|Asthma symptoms cough", US_national_yearly!$D:$AM, 27, FALSE) / VLOOKUP("transport|NOx|Asthma symptoms cough", US_national_yearly!$D:$AM, 10, FALSE), 1)</f>
        <v>8.6291895271192601E-4</v>
      </c>
      <c r="T6" s="7">
        <f>$B6 * IFERROR(VLOOKUP("transport|NOx|Asthma symptoms cough", US_national_yearly!$D:$AM, 28, FALSE) / VLOOKUP("transport|NOx|Asthma symptoms cough", US_national_yearly!$D:$AM, 10, FALSE), 1)</f>
        <v>8.6729254613617055E-4</v>
      </c>
      <c r="U6" s="7">
        <f>$B6 * IFERROR(VLOOKUP("transport|NOx|Asthma symptoms cough", US_national_yearly!$D:$AM, 29, FALSE) / VLOOKUP("transport|NOx|Asthma symptoms cough", US_national_yearly!$D:$AM, 10, FALSE), 1)</f>
        <v>8.7166613956041487E-4</v>
      </c>
      <c r="V6" s="7">
        <f>$B6 * IFERROR(VLOOKUP("transport|NOx|Asthma symptoms cough", US_national_yearly!$D:$AM, 30, FALSE) / VLOOKUP("transport|NOx|Asthma symptoms cough", US_national_yearly!$D:$AM, 10, FALSE), 1)</f>
        <v>8.7603973298465963E-4</v>
      </c>
      <c r="W6" s="7">
        <f>$B6 * IFERROR(VLOOKUP("transport|NOx|Asthma symptoms cough", US_national_yearly!$D:$AM, 31, FALSE) / VLOOKUP("transport|NOx|Asthma symptoms cough", US_national_yearly!$D:$AM, 10, FALSE), 1)</f>
        <v>8.8041332640890417E-4</v>
      </c>
      <c r="X6" s="7">
        <f>$B6 * IFERROR(VLOOKUP("transport|NOx|Asthma symptoms cough", US_national_yearly!$D:$AM, 32, FALSE) / VLOOKUP("transport|NOx|Asthma symptoms cough", US_national_yearly!$D:$AM, 10, FALSE), 1)</f>
        <v>8.8447702312219388E-4</v>
      </c>
      <c r="Y6" s="7">
        <f>$B6 * IFERROR(VLOOKUP("transport|NOx|Asthma symptoms cough", US_national_yearly!$D:$AM, 33, FALSE) / VLOOKUP("transport|NOx|Asthma symptoms cough", US_national_yearly!$D:$AM, 10, FALSE), 1)</f>
        <v>8.8854071983548359E-4</v>
      </c>
      <c r="Z6" s="7">
        <f>$B6 * IFERROR(VLOOKUP("transport|NOx|Asthma symptoms cough", US_national_yearly!$D:$AM, 34, FALSE) / VLOOKUP("transport|NOx|Asthma symptoms cough", US_national_yearly!$D:$AM, 10, FALSE), 1)</f>
        <v>8.9260441654877341E-4</v>
      </c>
      <c r="AA6" s="7">
        <f>$B6 * IFERROR(VLOOKUP("transport|NOx|Asthma symptoms cough", US_national_yearly!$D:$AM, 35, FALSE) / VLOOKUP("transport|NOx|Asthma symptoms cough", US_national_yearly!$D:$AM, 10, FALSE), 1)</f>
        <v>8.9666811326206313E-4</v>
      </c>
      <c r="AB6" s="7">
        <f>$B6 * IFERROR(VLOOKUP("transport|NOx|Asthma symptoms cough", US_national_yearly!$D:$AM, 36, FALSE) / VLOOKUP("transport|NOx|Asthma symptoms cough", US_national_yearly!$D:$AM, 10, FALSE), 1)</f>
        <v>9.0073180997535306E-4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1.0349643486522492E-3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1.049114003386985E-3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1.0632636581217204E-3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1.0774133128564562E-3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1.091562967591192E-3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1.1028594896063993E-3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1.1141560116216067E-3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1.1180441129876135E-3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1.1219322143536203E-3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1.1258203157196269E-3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1.1297084170856337E-3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1.1335965184516405E-3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1.1381050615370801E-3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1.1426136046225196E-3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1.1471221477079589E-3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1.1516306907933985E-3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1.156139233878838E-3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1.1620288271252592E-3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1.1679184203716806E-3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1.173808013618102E-3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1.179697606864523E-3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1.1855872001109442E-3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1.191059478482695E-3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1.1965317568544459E-3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1.2020040352261972E-3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1.207476313597948E-3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1.2129485919696989E-3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1.581303345832775E-3</v>
      </c>
      <c r="C8" s="7">
        <f>$B8 * IFERROR(VLOOKUP("transport|NOx|Asthma symptoms wheeze", US_national_yearly!$D:$AM, 11, FALSE) / VLOOKUP("transport|NOx|Asthma symptoms wheeze", US_national_yearly!$D:$AM, 10, FALSE), 1)</f>
        <v>1.6029223479287517E-3</v>
      </c>
      <c r="D8" s="7">
        <f>$B8 * IFERROR(VLOOKUP("transport|NOx|Asthma symptoms wheeze", US_national_yearly!$D:$AM, 12, FALSE) / VLOOKUP("transport|NOx|Asthma symptoms wheeze", US_national_yearly!$D:$AM, 10, FALSE), 1)</f>
        <v>1.624541350024729E-3</v>
      </c>
      <c r="E8" s="7">
        <f>$B8 * IFERROR(VLOOKUP("transport|NOx|Asthma symptoms wheeze", US_national_yearly!$D:$AM, 13, FALSE) / VLOOKUP("transport|NOx|Asthma symptoms wheeze", US_national_yearly!$D:$AM, 10, FALSE), 1)</f>
        <v>1.6461603521207057E-3</v>
      </c>
      <c r="F8" s="7">
        <f>$B8 * IFERROR(VLOOKUP("transport|NOx|Asthma symptoms wheeze", US_national_yearly!$D:$AM, 14, FALSE) / VLOOKUP("transport|NOx|Asthma symptoms wheeze", US_national_yearly!$D:$AM, 10, FALSE), 1)</f>
        <v>1.6677793542166823E-3</v>
      </c>
      <c r="G8" s="7">
        <f>$B8 * IFERROR(VLOOKUP("transport|NOx|Asthma symptoms wheeze", US_national_yearly!$D:$AM, 15, FALSE) / VLOOKUP("transport|NOx|Asthma symptoms wheeze", US_national_yearly!$D:$AM, 10, FALSE), 1)</f>
        <v>1.6850391063517359E-3</v>
      </c>
      <c r="H8" s="7">
        <f>$B8 * IFERROR(VLOOKUP("transport|NOx|Asthma symptoms wheeze", US_national_yearly!$D:$AM, 16, FALSE) / VLOOKUP("transport|NOx|Asthma symptoms wheeze", US_national_yearly!$D:$AM, 10, FALSE), 1)</f>
        <v>1.7022988584867898E-3</v>
      </c>
      <c r="I8" s="7">
        <f>$B8 * IFERROR(VLOOKUP("transport|NOx|Asthma symptoms wheeze", US_national_yearly!$D:$AM, 17, FALSE) / VLOOKUP("transport|NOx|Asthma symptoms wheeze", US_national_yearly!$D:$AM, 10, FALSE), 1)</f>
        <v>1.7082394184524913E-3</v>
      </c>
      <c r="J8" s="7">
        <f>$B8 * IFERROR(VLOOKUP("transport|NOx|Asthma symptoms wheeze", US_national_yearly!$D:$AM, 18, FALSE) / VLOOKUP("transport|NOx|Asthma symptoms wheeze", US_national_yearly!$D:$AM, 10, FALSE), 1)</f>
        <v>1.7141799784181932E-3</v>
      </c>
      <c r="K8" s="7">
        <f>$B8 * IFERROR(VLOOKUP("transport|NOx|Asthma symptoms wheeze", US_national_yearly!$D:$AM, 19, FALSE) / VLOOKUP("transport|NOx|Asthma symptoms wheeze", US_national_yearly!$D:$AM, 10, FALSE), 1)</f>
        <v>1.7201205383838942E-3</v>
      </c>
      <c r="L8" s="7">
        <f>$B8 * IFERROR(VLOOKUP("transport|NOx|Asthma symptoms wheeze", US_national_yearly!$D:$AM, 20, FALSE) / VLOOKUP("transport|NOx|Asthma symptoms wheeze", US_national_yearly!$D:$AM, 10, FALSE), 1)</f>
        <v>1.7260610983495961E-3</v>
      </c>
      <c r="M8" s="7">
        <f>$B8 * IFERROR(VLOOKUP("transport|NOx|Asthma symptoms wheeze", US_national_yearly!$D:$AM, 21, FALSE) / VLOOKUP("transport|NOx|Asthma symptoms wheeze", US_national_yearly!$D:$AM, 10, FALSE), 1)</f>
        <v>1.7320016583152976E-3</v>
      </c>
      <c r="N8" s="7">
        <f>$B8 * IFERROR(VLOOKUP("transport|NOx|Asthma symptoms wheeze", US_national_yearly!$D:$AM, 22, FALSE) / VLOOKUP("transport|NOx|Asthma symptoms wheeze", US_national_yearly!$D:$AM, 10, FALSE), 1)</f>
        <v>1.7388901799755576E-3</v>
      </c>
      <c r="O8" s="7">
        <f>$B8 * IFERROR(VLOOKUP("transport|NOx|Asthma symptoms wheeze", US_national_yearly!$D:$AM, 23, FALSE) / VLOOKUP("transport|NOx|Asthma symptoms wheeze", US_national_yearly!$D:$AM, 10, FALSE), 1)</f>
        <v>1.7457787016358179E-3</v>
      </c>
      <c r="P8" s="7">
        <f>$B8 * IFERROR(VLOOKUP("transport|NOx|Asthma symptoms wheeze", US_national_yearly!$D:$AM, 24, FALSE) / VLOOKUP("transport|NOx|Asthma symptoms wheeze", US_national_yearly!$D:$AM, 10, FALSE), 1)</f>
        <v>1.7526672232960779E-3</v>
      </c>
      <c r="Q8" s="7">
        <f>$B8 * IFERROR(VLOOKUP("transport|NOx|Asthma symptoms wheeze", US_national_yearly!$D:$AM, 25, FALSE) / VLOOKUP("transport|NOx|Asthma symptoms wheeze", US_national_yearly!$D:$AM, 10, FALSE), 1)</f>
        <v>1.7595557449563383E-3</v>
      </c>
      <c r="R8" s="7">
        <f>$B8 * IFERROR(VLOOKUP("transport|NOx|Asthma symptoms wheeze", US_national_yearly!$D:$AM, 26, FALSE) / VLOOKUP("transport|NOx|Asthma symptoms wheeze", US_national_yearly!$D:$AM, 10, FALSE), 1)</f>
        <v>1.7664442666165982E-3</v>
      </c>
      <c r="S8" s="7">
        <f>$B8 * IFERROR(VLOOKUP("transport|NOx|Asthma symptoms wheeze", US_national_yearly!$D:$AM, 27, FALSE) / VLOOKUP("transport|NOx|Asthma symptoms wheeze", US_national_yearly!$D:$AM, 10, FALSE), 1)</f>
        <v>1.7754428698774588E-3</v>
      </c>
      <c r="T8" s="7">
        <f>$B8 * IFERROR(VLOOKUP("transport|NOx|Asthma symptoms wheeze", US_national_yearly!$D:$AM, 28, FALSE) / VLOOKUP("transport|NOx|Asthma symptoms wheeze", US_national_yearly!$D:$AM, 10, FALSE), 1)</f>
        <v>1.7844414731383194E-3</v>
      </c>
      <c r="U8" s="7">
        <f>$B8 * IFERROR(VLOOKUP("transport|NOx|Asthma symptoms wheeze", US_national_yearly!$D:$AM, 29, FALSE) / VLOOKUP("transport|NOx|Asthma symptoms wheeze", US_national_yearly!$D:$AM, 10, FALSE), 1)</f>
        <v>1.7934400763991798E-3</v>
      </c>
      <c r="V8" s="7">
        <f>$B8 * IFERROR(VLOOKUP("transport|NOx|Asthma symptoms wheeze", US_national_yearly!$D:$AM, 30, FALSE) / VLOOKUP("transport|NOx|Asthma symptoms wheeze", US_national_yearly!$D:$AM, 10, FALSE), 1)</f>
        <v>1.8024386796600409E-3</v>
      </c>
      <c r="W8" s="7">
        <f>$B8 * IFERROR(VLOOKUP("transport|NOx|Asthma symptoms wheeze", US_national_yearly!$D:$AM, 31, FALSE) / VLOOKUP("transport|NOx|Asthma symptoms wheeze", US_national_yearly!$D:$AM, 10, FALSE), 1)</f>
        <v>1.8114372829209011E-3</v>
      </c>
      <c r="X8" s="7">
        <f>$B8 * IFERROR(VLOOKUP("transport|NOx|Asthma symptoms wheeze", US_national_yearly!$D:$AM, 32, FALSE) / VLOOKUP("transport|NOx|Asthma symptoms wheeze", US_national_yearly!$D:$AM, 10, FALSE), 1)</f>
        <v>1.8197982783166378E-3</v>
      </c>
      <c r="Y8" s="7">
        <f>$B8 * IFERROR(VLOOKUP("transport|NOx|Asthma symptoms wheeze", US_national_yearly!$D:$AM, 33, FALSE) / VLOOKUP("transport|NOx|Asthma symptoms wheeze", US_national_yearly!$D:$AM, 10, FALSE), 1)</f>
        <v>1.8281592737123744E-3</v>
      </c>
      <c r="Z8" s="7">
        <f>$B8 * IFERROR(VLOOKUP("transport|NOx|Asthma symptoms wheeze", US_national_yearly!$D:$AM, 34, FALSE) / VLOOKUP("transport|NOx|Asthma symptoms wheeze", US_national_yearly!$D:$AM, 10, FALSE), 1)</f>
        <v>1.8365202691081111E-3</v>
      </c>
      <c r="AA8" s="7">
        <f>$B8 * IFERROR(VLOOKUP("transport|NOx|Asthma symptoms wheeze", US_national_yearly!$D:$AM, 35, FALSE) / VLOOKUP("transport|NOx|Asthma symptoms wheeze", US_national_yearly!$D:$AM, 10, FALSE), 1)</f>
        <v>1.8448812645038475E-3</v>
      </c>
      <c r="AB8" s="7">
        <f>$B8 * IFERROR(VLOOKUP("transport|NOx|Asthma symptoms wheeze", US_national_yearly!$D:$AM, 36, FALSE) / VLOOKUP("transport|NOx|Asthma symptoms wheeze", US_national_yearly!$D:$AM, 10, FALSE), 1)</f>
        <v>1.8532422598995844E-3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2.6280834775097618E-5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2.6936401386666659E-5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2.7591967998235703E-5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2.8247534609804748E-5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2.8903101221373796E-5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2.9529845214865245E-5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3.0156589208356693E-5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3.0688707743383513E-5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3.1220826278410326E-5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3.1752944813437146E-5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3.2285063348463966E-5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3.2817181883490786E-5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3.3172912704715957E-5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3.3528643525941141E-5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3.3884374347166319E-5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3.4240105168391503E-5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3.4595835989616681E-5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3.4786426924440416E-5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3.4977017859264151E-5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3.5167608794087886E-5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3.5358199728911615E-5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3.5548790663735356E-5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3.5679034806783061E-5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3.5809278949830766E-5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3.593952309287847E-5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3.6069767235926175E-5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3.620001137897388E-5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1.2464877306272309E-4</v>
      </c>
      <c r="C13" s="7">
        <f>$B13 * IFERROR(VLOOKUP("transport|NOx|Non-fatal heart attacks", US_national_yearly!$D:$AM, 11, FALSE) / VLOOKUP("transport|NOx|Non-fatal heart attacks", US_national_yearly!$D:$AM, 10, FALSE), 1)</f>
        <v>1.2821237166201033E-4</v>
      </c>
      <c r="D13" s="7">
        <f>$B13 * IFERROR(VLOOKUP("transport|NOx|Non-fatal heart attacks", US_national_yearly!$D:$AM, 12, FALSE) / VLOOKUP("transport|NOx|Non-fatal heart attacks", US_national_yearly!$D:$AM, 10, FALSE), 1)</f>
        <v>1.3177597026129759E-4</v>
      </c>
      <c r="E13" s="7">
        <f>$B13 * IFERROR(VLOOKUP("transport|NOx|Non-fatal heart attacks", US_national_yearly!$D:$AM, 13, FALSE) / VLOOKUP("transport|NOx|Non-fatal heart attacks", US_national_yearly!$D:$AM, 10, FALSE), 1)</f>
        <v>1.353395688605848E-4</v>
      </c>
      <c r="F13" s="7">
        <f>$B13 * IFERROR(VLOOKUP("transport|NOx|Non-fatal heart attacks", US_national_yearly!$D:$AM, 14, FALSE) / VLOOKUP("transport|NOx|Non-fatal heart attacks", US_national_yearly!$D:$AM, 10, FALSE), 1)</f>
        <v>1.3890316745987207E-4</v>
      </c>
      <c r="G13" s="7">
        <f>$B13 * IFERROR(VLOOKUP("transport|NOx|Non-fatal heart attacks", US_national_yearly!$D:$AM, 15, FALSE) / VLOOKUP("transport|NOx|Non-fatal heart attacks", US_national_yearly!$D:$AM, 10, FALSE), 1)</f>
        <v>1.4223334294451113E-4</v>
      </c>
      <c r="H13" s="7">
        <f>$B13 * IFERROR(VLOOKUP("transport|NOx|Non-fatal heart attacks", US_national_yearly!$D:$AM, 16, FALSE) / VLOOKUP("transport|NOx|Non-fatal heart attacks", US_national_yearly!$D:$AM, 10, FALSE), 1)</f>
        <v>1.455635184291502E-4</v>
      </c>
      <c r="I13" s="7">
        <f>$B13 * IFERROR(VLOOKUP("transport|NOx|Non-fatal heart attacks", US_national_yearly!$D:$AM, 17, FALSE) / VLOOKUP("transport|NOx|Non-fatal heart attacks", US_national_yearly!$D:$AM, 10, FALSE), 1)</f>
        <v>1.4818898112338278E-4</v>
      </c>
      <c r="J13" s="7">
        <f>$B13 * IFERROR(VLOOKUP("transport|NOx|Non-fatal heart attacks", US_national_yearly!$D:$AM, 18, FALSE) / VLOOKUP("transport|NOx|Non-fatal heart attacks", US_national_yearly!$D:$AM, 10, FALSE), 1)</f>
        <v>1.5081444381761543E-4</v>
      </c>
      <c r="K13" s="7">
        <f>$B13 * IFERROR(VLOOKUP("transport|NOx|Non-fatal heart attacks", US_national_yearly!$D:$AM, 19, FALSE) / VLOOKUP("transport|NOx|Non-fatal heart attacks", US_national_yearly!$D:$AM, 10, FALSE), 1)</f>
        <v>1.5343990651184796E-4</v>
      </c>
      <c r="L13" s="7">
        <f>$B13 * IFERROR(VLOOKUP("transport|NOx|Non-fatal heart attacks", US_national_yearly!$D:$AM, 20, FALSE) / VLOOKUP("transport|NOx|Non-fatal heart attacks", US_national_yearly!$D:$AM, 10, FALSE), 1)</f>
        <v>1.5606536920608066E-4</v>
      </c>
      <c r="M13" s="7">
        <f>$B13 * IFERROR(VLOOKUP("transport|NOx|Non-fatal heart attacks", US_national_yearly!$D:$AM, 21, FALSE) / VLOOKUP("transport|NOx|Non-fatal heart attacks", US_national_yearly!$D:$AM, 10, FALSE), 1)</f>
        <v>1.5869083190031324E-4</v>
      </c>
      <c r="N13" s="7">
        <f>$B13 * IFERROR(VLOOKUP("transport|NOx|Non-fatal heart attacks", US_national_yearly!$D:$AM, 22, FALSE) / VLOOKUP("transport|NOx|Non-fatal heart attacks", US_national_yearly!$D:$AM, 10, FALSE), 1)</f>
        <v>1.6027038987846207E-4</v>
      </c>
      <c r="O13" s="7">
        <f>$B13 * IFERROR(VLOOKUP("transport|NOx|Non-fatal heart attacks", US_national_yearly!$D:$AM, 23, FALSE) / VLOOKUP("transport|NOx|Non-fatal heart attacks", US_national_yearly!$D:$AM, 10, FALSE), 1)</f>
        <v>1.618499478566109E-4</v>
      </c>
      <c r="P13" s="7">
        <f>$B13 * IFERROR(VLOOKUP("transport|NOx|Non-fatal heart attacks", US_national_yearly!$D:$AM, 24, FALSE) / VLOOKUP("transport|NOx|Non-fatal heart attacks", US_national_yearly!$D:$AM, 10, FALSE), 1)</f>
        <v>1.6342950583475972E-4</v>
      </c>
      <c r="Q13" s="7">
        <f>$B13 * IFERROR(VLOOKUP("transport|NOx|Non-fatal heart attacks", US_national_yearly!$D:$AM, 25, FALSE) / VLOOKUP("transport|NOx|Non-fatal heart attacks", US_national_yearly!$D:$AM, 10, FALSE), 1)</f>
        <v>1.6500906381290858E-4</v>
      </c>
      <c r="R13" s="7">
        <f>$B13 * IFERROR(VLOOKUP("transport|NOx|Non-fatal heart attacks", US_national_yearly!$D:$AM, 26, FALSE) / VLOOKUP("transport|NOx|Non-fatal heart attacks", US_national_yearly!$D:$AM, 10, FALSE), 1)</f>
        <v>1.665886217910574E-4</v>
      </c>
      <c r="S13" s="7">
        <f>$B13 * IFERROR(VLOOKUP("transport|NOx|Non-fatal heart attacks", US_national_yearly!$D:$AM, 27, FALSE) / VLOOKUP("transport|NOx|Non-fatal heart attacks", US_national_yearly!$D:$AM, 10, FALSE), 1)</f>
        <v>1.6730512021475631E-4</v>
      </c>
      <c r="T13" s="7">
        <f>$B13 * IFERROR(VLOOKUP("transport|NOx|Non-fatal heart attacks", US_national_yearly!$D:$AM, 28, FALSE) / VLOOKUP("transport|NOx|Non-fatal heart attacks", US_national_yearly!$D:$AM, 10, FALSE), 1)</f>
        <v>1.6802161863845521E-4</v>
      </c>
      <c r="U13" s="7">
        <f>$B13 * IFERROR(VLOOKUP("transport|NOx|Non-fatal heart attacks", US_national_yearly!$D:$AM, 29, FALSE) / VLOOKUP("transport|NOx|Non-fatal heart attacks", US_national_yearly!$D:$AM, 10, FALSE), 1)</f>
        <v>1.6873811706215412E-4</v>
      </c>
      <c r="V13" s="7">
        <f>$B13 * IFERROR(VLOOKUP("transport|NOx|Non-fatal heart attacks", US_national_yearly!$D:$AM, 30, FALSE) / VLOOKUP("transport|NOx|Non-fatal heart attacks", US_national_yearly!$D:$AM, 10, FALSE), 1)</f>
        <v>1.6945461548585302E-4</v>
      </c>
      <c r="W13" s="7">
        <f>$B13 * IFERROR(VLOOKUP("transport|NOx|Non-fatal heart attacks", US_national_yearly!$D:$AM, 31, FALSE) / VLOOKUP("transport|NOx|Non-fatal heart attacks", US_national_yearly!$D:$AM, 10, FALSE), 1)</f>
        <v>1.7017111390955192E-4</v>
      </c>
      <c r="X13" s="7">
        <f>$B13 * IFERROR(VLOOKUP("transport|NOx|Non-fatal heart attacks", US_national_yearly!$D:$AM, 32, FALSE) / VLOOKUP("transport|NOx|Non-fatal heart attacks", US_national_yearly!$D:$AM, 10, FALSE), 1)</f>
        <v>1.7064991585713241E-4</v>
      </c>
      <c r="Y13" s="7">
        <f>$B13 * IFERROR(VLOOKUP("transport|NOx|Non-fatal heart attacks", US_national_yearly!$D:$AM, 33, FALSE) / VLOOKUP("transport|NOx|Non-fatal heart attacks", US_national_yearly!$D:$AM, 10, FALSE), 1)</f>
        <v>1.7112871780471293E-4</v>
      </c>
      <c r="Z13" s="7">
        <f>$B13 * IFERROR(VLOOKUP("transport|NOx|Non-fatal heart attacks", US_national_yearly!$D:$AM, 34, FALSE) / VLOOKUP("transport|NOx|Non-fatal heart attacks", US_national_yearly!$D:$AM, 10, FALSE), 1)</f>
        <v>1.7160751975229339E-4</v>
      </c>
      <c r="AA13" s="7">
        <f>$B13 * IFERROR(VLOOKUP("transport|NOx|Non-fatal heart attacks", US_national_yearly!$D:$AM, 35, FALSE) / VLOOKUP("transport|NOx|Non-fatal heart attacks", US_national_yearly!$D:$AM, 10, FALSE), 1)</f>
        <v>1.7208632169987388E-4</v>
      </c>
      <c r="AB13" s="7">
        <f>$B13 * IFERROR(VLOOKUP("transport|NOx|Non-fatal heart attacks", US_national_yearly!$D:$AM, 36, FALSE) / VLOOKUP("transport|NOx|Non-fatal heart attacks", US_national_yearly!$D:$AM, 10, FALSE), 1)</f>
        <v>1.725651236474544E-4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8.9073543458112386E-2</v>
      </c>
      <c r="C14" s="7">
        <f>$B14 * IFERROR(VLOOKUP("transport|NOx|Minor restricted activity days", US_national_yearly!$D:$AM, 11, FALSE) / VLOOKUP("transport|NOx|Minor restricted activity days", US_national_yearly!$D:$AM, 10, FALSE), 1)</f>
        <v>8.9210108148433026E-2</v>
      </c>
      <c r="D14" s="7">
        <f>$B14 * IFERROR(VLOOKUP("transport|NOx|Minor restricted activity days", US_national_yearly!$D:$AM, 12, FALSE) / VLOOKUP("transport|NOx|Minor restricted activity days", US_national_yearly!$D:$AM, 10, FALSE), 1)</f>
        <v>8.934667283875368E-2</v>
      </c>
      <c r="E14" s="7">
        <f>$B14 * IFERROR(VLOOKUP("transport|NOx|Minor restricted activity days", US_national_yearly!$D:$AM, 13, FALSE) / VLOOKUP("transport|NOx|Minor restricted activity days", US_national_yearly!$D:$AM, 10, FALSE), 1)</f>
        <v>8.9483237529074333E-2</v>
      </c>
      <c r="F14" s="7">
        <f>$B14 * IFERROR(VLOOKUP("transport|NOx|Minor restricted activity days", US_national_yearly!$D:$AM, 14, FALSE) / VLOOKUP("transport|NOx|Minor restricted activity days", US_national_yearly!$D:$AM, 10, FALSE), 1)</f>
        <v>8.9619802219394973E-2</v>
      </c>
      <c r="G14" s="7">
        <f>$B14 * IFERROR(VLOOKUP("transport|NOx|Minor restricted activity days", US_national_yearly!$D:$AM, 15, FALSE) / VLOOKUP("transport|NOx|Minor restricted activity days", US_national_yearly!$D:$AM, 10, FALSE), 1)</f>
        <v>8.986640554492463E-2</v>
      </c>
      <c r="H14" s="7">
        <f>$B14 * IFERROR(VLOOKUP("transport|NOx|Minor restricted activity days", US_national_yearly!$D:$AM, 16, FALSE) / VLOOKUP("transport|NOx|Minor restricted activity days", US_national_yearly!$D:$AM, 10, FALSE), 1)</f>
        <v>9.0113008870454273E-2</v>
      </c>
      <c r="I14" s="7">
        <f>$B14 * IFERROR(VLOOKUP("transport|NOx|Minor restricted activity days", US_national_yearly!$D:$AM, 17, FALSE) / VLOOKUP("transport|NOx|Minor restricted activity days", US_national_yearly!$D:$AM, 10, FALSE), 1)</f>
        <v>9.0595355223485732E-2</v>
      </c>
      <c r="J14" s="7">
        <f>$B14 * IFERROR(VLOOKUP("transport|NOx|Minor restricted activity days", US_national_yearly!$D:$AM, 18, FALSE) / VLOOKUP("transport|NOx|Minor restricted activity days", US_national_yearly!$D:$AM, 10, FALSE), 1)</f>
        <v>9.1077701576517164E-2</v>
      </c>
      <c r="K14" s="7">
        <f>$B14 * IFERROR(VLOOKUP("transport|NOx|Minor restricted activity days", US_national_yearly!$D:$AM, 19, FALSE) / VLOOKUP("transport|NOx|Minor restricted activity days", US_national_yearly!$D:$AM, 10, FALSE), 1)</f>
        <v>9.1560047929548624E-2</v>
      </c>
      <c r="L14" s="7">
        <f>$B14 * IFERROR(VLOOKUP("transport|NOx|Minor restricted activity days", US_national_yearly!$D:$AM, 20, FALSE) / VLOOKUP("transport|NOx|Minor restricted activity days", US_national_yearly!$D:$AM, 10, FALSE), 1)</f>
        <v>9.2042394282580056E-2</v>
      </c>
      <c r="M14" s="7">
        <f>$B14 * IFERROR(VLOOKUP("transport|NOx|Minor restricted activity days", US_national_yearly!$D:$AM, 21, FALSE) / VLOOKUP("transport|NOx|Minor restricted activity days", US_national_yearly!$D:$AM, 10, FALSE), 1)</f>
        <v>9.2524740635611516E-2</v>
      </c>
      <c r="N14" s="7">
        <f>$B14 * IFERROR(VLOOKUP("transport|NOx|Minor restricted activity days", US_national_yearly!$D:$AM, 22, FALSE) / VLOOKUP("transport|NOx|Minor restricted activity days", US_national_yearly!$D:$AM, 10, FALSE), 1)</f>
        <v>9.3215351243485886E-2</v>
      </c>
      <c r="O14" s="7">
        <f>$B14 * IFERROR(VLOOKUP("transport|NOx|Minor restricted activity days", US_national_yearly!$D:$AM, 23, FALSE) / VLOOKUP("transport|NOx|Minor restricted activity days", US_national_yearly!$D:$AM, 10, FALSE), 1)</f>
        <v>9.390596185136027E-2</v>
      </c>
      <c r="P14" s="7">
        <f>$B14 * IFERROR(VLOOKUP("transport|NOx|Minor restricted activity days", US_national_yearly!$D:$AM, 24, FALSE) / VLOOKUP("transport|NOx|Minor restricted activity days", US_national_yearly!$D:$AM, 10, FALSE), 1)</f>
        <v>9.459657245923464E-2</v>
      </c>
      <c r="Q14" s="7">
        <f>$B14 * IFERROR(VLOOKUP("transport|NOx|Minor restricted activity days", US_national_yearly!$D:$AM, 25, FALSE) / VLOOKUP("transport|NOx|Minor restricted activity days", US_national_yearly!$D:$AM, 10, FALSE), 1)</f>
        <v>9.528718306710901E-2</v>
      </c>
      <c r="R14" s="7">
        <f>$B14 * IFERROR(VLOOKUP("transport|NOx|Minor restricted activity days", US_national_yearly!$D:$AM, 26, FALSE) / VLOOKUP("transport|NOx|Minor restricted activity days", US_national_yearly!$D:$AM, 10, FALSE), 1)</f>
        <v>9.5977793674983394E-2</v>
      </c>
      <c r="S14" s="7">
        <f>$B14 * IFERROR(VLOOKUP("transport|NOx|Minor restricted activity days", US_national_yearly!$D:$AM, 27, FALSE) / VLOOKUP("transport|NOx|Minor restricted activity days", US_national_yearly!$D:$AM, 10, FALSE), 1)</f>
        <v>9.6668259083455596E-2</v>
      </c>
      <c r="T14" s="7">
        <f>$B14 * IFERROR(VLOOKUP("transport|NOx|Minor restricted activity days", US_national_yearly!$D:$AM, 28, FALSE) / VLOOKUP("transport|NOx|Minor restricted activity days", US_national_yearly!$D:$AM, 10, FALSE), 1)</f>
        <v>9.7358724491927798E-2</v>
      </c>
      <c r="U14" s="7">
        <f>$B14 * IFERROR(VLOOKUP("transport|NOx|Minor restricted activity days", US_national_yearly!$D:$AM, 29, FALSE) / VLOOKUP("transport|NOx|Minor restricted activity days", US_national_yearly!$D:$AM, 10, FALSE), 1)</f>
        <v>9.8049189900400013E-2</v>
      </c>
      <c r="V14" s="7">
        <f>$B14 * IFERROR(VLOOKUP("transport|NOx|Minor restricted activity days", US_national_yearly!$D:$AM, 30, FALSE) / VLOOKUP("transport|NOx|Minor restricted activity days", US_national_yearly!$D:$AM, 10, FALSE), 1)</f>
        <v>9.8739655308872229E-2</v>
      </c>
      <c r="W14" s="7">
        <f>$B14 * IFERROR(VLOOKUP("transport|NOx|Minor restricted activity days", US_national_yearly!$D:$AM, 31, FALSE) / VLOOKUP("transport|NOx|Minor restricted activity days", US_national_yearly!$D:$AM, 10, FALSE), 1)</f>
        <v>9.9430120717344417E-2</v>
      </c>
      <c r="X14" s="7">
        <f>$B14 * IFERROR(VLOOKUP("transport|NOx|Minor restricted activity days", US_national_yearly!$D:$AM, 32, FALSE) / VLOOKUP("transport|NOx|Minor restricted activity days", US_national_yearly!$D:$AM, 10, FALSE), 1)</f>
        <v>0.10001388291635493</v>
      </c>
      <c r="Y14" s="7">
        <f>$B14 * IFERROR(VLOOKUP("transport|NOx|Minor restricted activity days", US_national_yearly!$D:$AM, 33, FALSE) / VLOOKUP("transport|NOx|Minor restricted activity days", US_national_yearly!$D:$AM, 10, FALSE), 1)</f>
        <v>0.10059764511536547</v>
      </c>
      <c r="Z14" s="7">
        <f>$B14 * IFERROR(VLOOKUP("transport|NOx|Minor restricted activity days", US_national_yearly!$D:$AM, 34, FALSE) / VLOOKUP("transport|NOx|Minor restricted activity days", US_national_yearly!$D:$AM, 10, FALSE), 1)</f>
        <v>0.10118140731437598</v>
      </c>
      <c r="AA14" s="7">
        <f>$B14 * IFERROR(VLOOKUP("transport|NOx|Minor restricted activity days", US_national_yearly!$D:$AM, 35, FALSE) / VLOOKUP("transport|NOx|Minor restricted activity days", US_national_yearly!$D:$AM, 10, FALSE), 1)</f>
        <v>0.1017651695133865</v>
      </c>
      <c r="AB14" s="7">
        <f>$B14 * IFERROR(VLOOKUP("transport|NOx|Minor restricted activity days", US_national_yearly!$D:$AM, 36, FALSE) / VLOOKUP("transport|NOx|Minor restricted activity days", US_national_yearly!$D:$AM, 10, FALSE), 1)</f>
        <v>0.10234893171239702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1.5057385361992708E-2</v>
      </c>
      <c r="C15" s="7">
        <f>$B15 * IFERROR(VLOOKUP("transport|NOx|Work loss days", US_national_yearly!$D:$AM, 11, FALSE) / VLOOKUP("transport|NOx|Work loss days", US_national_yearly!$D:$AM, 10, FALSE), 1)</f>
        <v>1.5090879705694296E-2</v>
      </c>
      <c r="D15" s="7">
        <f>$B15 * IFERROR(VLOOKUP("transport|NOx|Work loss days", US_national_yearly!$D:$AM, 12, FALSE) / VLOOKUP("transport|NOx|Work loss days", US_national_yearly!$D:$AM, 10, FALSE), 1)</f>
        <v>1.512437404939589E-2</v>
      </c>
      <c r="E15" s="7">
        <f>$B15 * IFERROR(VLOOKUP("transport|NOx|Work loss days", US_national_yearly!$D:$AM, 13, FALSE) / VLOOKUP("transport|NOx|Work loss days", US_national_yearly!$D:$AM, 10, FALSE), 1)</f>
        <v>1.5157868393097478E-2</v>
      </c>
      <c r="F15" s="7">
        <f>$B15 * IFERROR(VLOOKUP("transport|NOx|Work loss days", US_national_yearly!$D:$AM, 14, FALSE) / VLOOKUP("transport|NOx|Work loss days", US_national_yearly!$D:$AM, 10, FALSE), 1)</f>
        <v>1.519136273679907E-2</v>
      </c>
      <c r="G15" s="7">
        <f>$B15 * IFERROR(VLOOKUP("transport|NOx|Work loss days", US_national_yearly!$D:$AM, 15, FALSE) / VLOOKUP("transport|NOx|Work loss days", US_national_yearly!$D:$AM, 10, FALSE), 1)</f>
        <v>1.5240264764325015E-2</v>
      </c>
      <c r="H15" s="7">
        <f>$B15 * IFERROR(VLOOKUP("transport|NOx|Work loss days", US_national_yearly!$D:$AM, 16, FALSE) / VLOOKUP("transport|NOx|Work loss days", US_national_yearly!$D:$AM, 10, FALSE), 1)</f>
        <v>1.5289166791850961E-2</v>
      </c>
      <c r="I15" s="7">
        <f>$B15 * IFERROR(VLOOKUP("transport|NOx|Work loss days", US_national_yearly!$D:$AM, 17, FALSE) / VLOOKUP("transport|NOx|Work loss days", US_national_yearly!$D:$AM, 10, FALSE), 1)</f>
        <v>1.5368385426138113E-2</v>
      </c>
      <c r="J15" s="7">
        <f>$B15 * IFERROR(VLOOKUP("transport|NOx|Work loss days", US_national_yearly!$D:$AM, 18, FALSE) / VLOOKUP("transport|NOx|Work loss days", US_national_yearly!$D:$AM, 10, FALSE), 1)</f>
        <v>1.5447604060425266E-2</v>
      </c>
      <c r="K15" s="7">
        <f>$B15 * IFERROR(VLOOKUP("transport|NOx|Work loss days", US_national_yearly!$D:$AM, 19, FALSE) / VLOOKUP("transport|NOx|Work loss days", US_national_yearly!$D:$AM, 10, FALSE), 1)</f>
        <v>1.5526822694712415E-2</v>
      </c>
      <c r="L15" s="7">
        <f>$B15 * IFERROR(VLOOKUP("transport|NOx|Work loss days", US_national_yearly!$D:$AM, 20, FALSE) / VLOOKUP("transport|NOx|Work loss days", US_national_yearly!$D:$AM, 10, FALSE), 1)</f>
        <v>1.5606041328999566E-2</v>
      </c>
      <c r="M15" s="7">
        <f>$B15 * IFERROR(VLOOKUP("transport|NOx|Work loss days", US_national_yearly!$D:$AM, 21, FALSE) / VLOOKUP("transport|NOx|Work loss days", US_national_yearly!$D:$AM, 10, FALSE), 1)</f>
        <v>1.5685259963286718E-2</v>
      </c>
      <c r="N15" s="7">
        <f>$B15 * IFERROR(VLOOKUP("transport|NOx|Work loss days", US_national_yearly!$D:$AM, 22, FALSE) / VLOOKUP("transport|NOx|Work loss days", US_national_yearly!$D:$AM, 10, FALSE), 1)</f>
        <v>1.5788358154739519E-2</v>
      </c>
      <c r="O15" s="7">
        <f>$B15 * IFERROR(VLOOKUP("transport|NOx|Work loss days", US_national_yearly!$D:$AM, 23, FALSE) / VLOOKUP("transport|NOx|Work loss days", US_national_yearly!$D:$AM, 10, FALSE), 1)</f>
        <v>1.589145634619232E-2</v>
      </c>
      <c r="P15" s="7">
        <f>$B15 * IFERROR(VLOOKUP("transport|NOx|Work loss days", US_national_yearly!$D:$AM, 24, FALSE) / VLOOKUP("transport|NOx|Work loss days", US_national_yearly!$D:$AM, 10, FALSE), 1)</f>
        <v>1.5994554537645117E-2</v>
      </c>
      <c r="Q15" s="7">
        <f>$B15 * IFERROR(VLOOKUP("transport|NOx|Work loss days", US_national_yearly!$D:$AM, 25, FALSE) / VLOOKUP("transport|NOx|Work loss days", US_national_yearly!$D:$AM, 10, FALSE), 1)</f>
        <v>1.6097652729097914E-2</v>
      </c>
      <c r="R15" s="7">
        <f>$B15 * IFERROR(VLOOKUP("transport|NOx|Work loss days", US_national_yearly!$D:$AM, 26, FALSE) / VLOOKUP("transport|NOx|Work loss days", US_national_yearly!$D:$AM, 10, FALSE), 1)</f>
        <v>1.6200750920550719E-2</v>
      </c>
      <c r="S15" s="7">
        <f>$B15 * IFERROR(VLOOKUP("transport|NOx|Work loss days", US_national_yearly!$D:$AM, 27, FALSE) / VLOOKUP("transport|NOx|Work loss days", US_national_yearly!$D:$AM, 10, FALSE), 1)</f>
        <v>1.631569222167915E-2</v>
      </c>
      <c r="T15" s="7">
        <f>$B15 * IFERROR(VLOOKUP("transport|NOx|Work loss days", US_national_yearly!$D:$AM, 28, FALSE) / VLOOKUP("transport|NOx|Work loss days", US_national_yearly!$D:$AM, 10, FALSE), 1)</f>
        <v>1.6430633522807585E-2</v>
      </c>
      <c r="U15" s="7">
        <f>$B15 * IFERROR(VLOOKUP("transport|NOx|Work loss days", US_national_yearly!$D:$AM, 29, FALSE) / VLOOKUP("transport|NOx|Work loss days", US_national_yearly!$D:$AM, 10, FALSE), 1)</f>
        <v>1.6545574823936014E-2</v>
      </c>
      <c r="V15" s="7">
        <f>$B15 * IFERROR(VLOOKUP("transport|NOx|Work loss days", US_national_yearly!$D:$AM, 30, FALSE) / VLOOKUP("transport|NOx|Work loss days", US_national_yearly!$D:$AM, 10, FALSE), 1)</f>
        <v>1.6660516125064449E-2</v>
      </c>
      <c r="W15" s="7">
        <f>$B15 * IFERROR(VLOOKUP("transport|NOx|Work loss days", US_national_yearly!$D:$AM, 31, FALSE) / VLOOKUP("transport|NOx|Work loss days", US_national_yearly!$D:$AM, 10, FALSE), 1)</f>
        <v>1.677545742619288E-2</v>
      </c>
      <c r="X15" s="7">
        <f>$B15 * IFERROR(VLOOKUP("transport|NOx|Work loss days", US_national_yearly!$D:$AM, 32, FALSE) / VLOOKUP("transport|NOx|Work loss days", US_national_yearly!$D:$AM, 10, FALSE), 1)</f>
        <v>1.6875220347276825E-2</v>
      </c>
      <c r="Y15" s="7">
        <f>$B15 * IFERROR(VLOOKUP("transport|NOx|Work loss days", US_national_yearly!$D:$AM, 33, FALSE) / VLOOKUP("transport|NOx|Work loss days", US_national_yearly!$D:$AM, 10, FALSE), 1)</f>
        <v>1.6974983268360774E-2</v>
      </c>
      <c r="Z15" s="7">
        <f>$B15 * IFERROR(VLOOKUP("transport|NOx|Work loss days", US_national_yearly!$D:$AM, 34, FALSE) / VLOOKUP("transport|NOx|Work loss days", US_national_yearly!$D:$AM, 10, FALSE), 1)</f>
        <v>1.7074746189444719E-2</v>
      </c>
      <c r="AA15" s="7">
        <f>$B15 * IFERROR(VLOOKUP("transport|NOx|Work loss days", US_national_yearly!$D:$AM, 35, FALSE) / VLOOKUP("transport|NOx|Work loss days", US_national_yearly!$D:$AM, 10, FALSE), 1)</f>
        <v>1.7174509110528664E-2</v>
      </c>
      <c r="AB15" s="7">
        <f>$B15 * IFERROR(VLOOKUP("transport|NOx|Work loss days", US_national_yearly!$D:$AM, 36, FALSE) / VLOOKUP("transport|NOx|Work loss days", US_national_yearly!$D:$AM, 10, FALSE), 1)</f>
        <v>1.7274272031612609E-2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2.3817412198409468E-5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2.4517278084300029E-5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2.5217143970190583E-5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2.591700985608114E-5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2.6616875741971701E-5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2.7281632593527842E-5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2.794638944508399E-5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2.8505398674146192E-5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2.9064407903208391E-5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2.962341713227059E-5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3.0182426361332789E-5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3.0741435590394994E-5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3.1091002583978663E-5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3.1440569577562338E-5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3.1790136571146013E-5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3.2139703564729688E-5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3.2489270558313357E-5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3.2648768378207906E-5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3.2808266198102456E-5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3.2967764017996998E-5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3.3127261837891548E-5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3.3286759657786097E-5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3.3375525724285399E-5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3.3464291790784701E-5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3.3553057857284002E-5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3.3641823923783304E-5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3.3730589990282605E-5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9.7697449976702662E-4</v>
      </c>
      <c r="C2" s="7">
        <f>$B2 * IFERROR(VLOOKUP("transport|SO2|Premature mortality", US_national_yearly!$D:$AM, 11, FALSE) / VLOOKUP("transport|SO2|Premature mortality", US_national_yearly!$D:$AM, 10, FALSE), 1)</f>
        <v>9.8934735320042422E-4</v>
      </c>
      <c r="D2" s="7">
        <f>$B2 * IFERROR(VLOOKUP("transport|SO2|Premature mortality", US_national_yearly!$D:$AM, 12, FALSE) / VLOOKUP("transport|SO2|Premature mortality", US_national_yearly!$D:$AM, 10, FALSE), 1)</f>
        <v>1.0017202066338222E-3</v>
      </c>
      <c r="E2" s="7">
        <f>$B2 * IFERROR(VLOOKUP("transport|SO2|Premature mortality", US_national_yearly!$D:$AM, 13, FALSE) / VLOOKUP("transport|SO2|Premature mortality", US_national_yearly!$D:$AM, 10, FALSE), 1)</f>
        <v>1.0140930600672198E-3</v>
      </c>
      <c r="F2" s="7">
        <f>$B2 * IFERROR(VLOOKUP("transport|SO2|Premature mortality", US_national_yearly!$D:$AM, 14, FALSE) / VLOOKUP("transport|SO2|Premature mortality", US_national_yearly!$D:$AM, 10, FALSE), 1)</f>
        <v>1.0264659135006177E-3</v>
      </c>
      <c r="G2" s="7">
        <f>$B2 * IFERROR(VLOOKUP("transport|SO2|Premature mortality", US_national_yearly!$D:$AM, 15, FALSE) / VLOOKUP("transport|SO2|Premature mortality", US_national_yearly!$D:$AM, 10, FALSE), 1)</f>
        <v>1.0503077008495137E-3</v>
      </c>
      <c r="H2" s="7">
        <f>$B2 * IFERROR(VLOOKUP("transport|SO2|Premature mortality", US_national_yearly!$D:$AM, 16, FALSE) / VLOOKUP("transport|SO2|Premature mortality", US_national_yearly!$D:$AM, 10, FALSE), 1)</f>
        <v>1.0741494881984098E-3</v>
      </c>
      <c r="I2" s="7">
        <f>$B2 * IFERROR(VLOOKUP("transport|SO2|Premature mortality", US_national_yearly!$D:$AM, 17, FALSE) / VLOOKUP("transport|SO2|Premature mortality", US_national_yearly!$D:$AM, 10, FALSE), 1)</f>
        <v>1.0899056021607015E-3</v>
      </c>
      <c r="J2" s="7">
        <f>$B2 * IFERROR(VLOOKUP("transport|SO2|Premature mortality", US_national_yearly!$D:$AM, 18, FALSE) / VLOOKUP("transport|SO2|Premature mortality", US_national_yearly!$D:$AM, 10, FALSE), 1)</f>
        <v>1.1056617161229933E-3</v>
      </c>
      <c r="K2" s="7">
        <f>$B2 * IFERROR(VLOOKUP("transport|SO2|Premature mortality", US_national_yearly!$D:$AM, 19, FALSE) / VLOOKUP("transport|SO2|Premature mortality", US_national_yearly!$D:$AM, 10, FALSE), 1)</f>
        <v>1.1214178300852848E-3</v>
      </c>
      <c r="L2" s="7">
        <f>$B2 * IFERROR(VLOOKUP("transport|SO2|Premature mortality", US_national_yearly!$D:$AM, 20, FALSE) / VLOOKUP("transport|SO2|Premature mortality", US_national_yearly!$D:$AM, 10, FALSE), 1)</f>
        <v>1.1371739440475767E-3</v>
      </c>
      <c r="M2" s="7">
        <f>$B2 * IFERROR(VLOOKUP("transport|SO2|Premature mortality", US_national_yearly!$D:$AM, 21, FALSE) / VLOOKUP("transport|SO2|Premature mortality", US_national_yearly!$D:$AM, 10, FALSE), 1)</f>
        <v>1.1529300580098683E-3</v>
      </c>
      <c r="N2" s="7">
        <f>$B2 * IFERROR(VLOOKUP("transport|SO2|Premature mortality", US_national_yearly!$D:$AM, 22, FALSE) / VLOOKUP("transport|SO2|Premature mortality", US_national_yearly!$D:$AM, 10, FALSE), 1)</f>
        <v>1.1652410308054192E-3</v>
      </c>
      <c r="O2" s="7">
        <f>$B2 * IFERROR(VLOOKUP("transport|SO2|Premature mortality", US_national_yearly!$D:$AM, 23, FALSE) / VLOOKUP("transport|SO2|Premature mortality", US_national_yearly!$D:$AM, 10, FALSE), 1)</f>
        <v>1.1775520036009701E-3</v>
      </c>
      <c r="P2" s="7">
        <f>$B2 * IFERROR(VLOOKUP("transport|SO2|Premature mortality", US_national_yearly!$D:$AM, 24, FALSE) / VLOOKUP("transport|SO2|Premature mortality", US_national_yearly!$D:$AM, 10, FALSE), 1)</f>
        <v>1.189862976396521E-3</v>
      </c>
      <c r="Q2" s="7">
        <f>$B2 * IFERROR(VLOOKUP("transport|SO2|Premature mortality", US_national_yearly!$D:$AM, 25, FALSE) / VLOOKUP("transport|SO2|Premature mortality", US_national_yearly!$D:$AM, 10, FALSE), 1)</f>
        <v>1.2021739491920719E-3</v>
      </c>
      <c r="R2" s="7">
        <f>$B2 * IFERROR(VLOOKUP("transport|SO2|Premature mortality", US_national_yearly!$D:$AM, 26, FALSE) / VLOOKUP("transport|SO2|Premature mortality", US_national_yearly!$D:$AM, 10, FALSE), 1)</f>
        <v>1.2144849219876226E-3</v>
      </c>
      <c r="S2" s="7">
        <f>$B2 * IFERROR(VLOOKUP("transport|SO2|Premature mortality", US_national_yearly!$D:$AM, 27, FALSE) / VLOOKUP("transport|SO2|Premature mortality", US_national_yearly!$D:$AM, 10, FALSE), 1)</f>
        <v>1.221077611842696E-3</v>
      </c>
      <c r="T2" s="7">
        <f>$B2 * IFERROR(VLOOKUP("transport|SO2|Premature mortality", US_national_yearly!$D:$AM, 28, FALSE) / VLOOKUP("transport|SO2|Premature mortality", US_national_yearly!$D:$AM, 10, FALSE), 1)</f>
        <v>1.2276703016977689E-3</v>
      </c>
      <c r="U2" s="7">
        <f>$B2 * IFERROR(VLOOKUP("transport|SO2|Premature mortality", US_national_yearly!$D:$AM, 29, FALSE) / VLOOKUP("transport|SO2|Premature mortality", US_national_yearly!$D:$AM, 10, FALSE), 1)</f>
        <v>1.2342629915528419E-3</v>
      </c>
      <c r="V2" s="7">
        <f>$B2 * IFERROR(VLOOKUP("transport|SO2|Premature mortality", US_national_yearly!$D:$AM, 30, FALSE) / VLOOKUP("transport|SO2|Premature mortality", US_national_yearly!$D:$AM, 10, FALSE), 1)</f>
        <v>1.240855681407915E-3</v>
      </c>
      <c r="W2" s="7">
        <f>$B2 * IFERROR(VLOOKUP("transport|SO2|Premature mortality", US_national_yearly!$D:$AM, 31, FALSE) / VLOOKUP("transport|SO2|Premature mortality", US_national_yearly!$D:$AM, 10, FALSE), 1)</f>
        <v>1.2474483712629882E-3</v>
      </c>
      <c r="X2" s="7">
        <f>$B2 * IFERROR(VLOOKUP("transport|SO2|Premature mortality", US_national_yearly!$D:$AM, 32, FALSE) / VLOOKUP("transport|SO2|Premature mortality", US_national_yearly!$D:$AM, 10, FALSE), 1)</f>
        <v>1.248787696372568E-3</v>
      </c>
      <c r="Y2" s="7">
        <f>$B2 * IFERROR(VLOOKUP("transport|SO2|Premature mortality", US_national_yearly!$D:$AM, 33, FALSE) / VLOOKUP("transport|SO2|Premature mortality", US_national_yearly!$D:$AM, 10, FALSE), 1)</f>
        <v>1.2501270214821481E-3</v>
      </c>
      <c r="Z2" s="7">
        <f>$B2 * IFERROR(VLOOKUP("transport|SO2|Premature mortality", US_national_yearly!$D:$AM, 34, FALSE) / VLOOKUP("transport|SO2|Premature mortality", US_national_yearly!$D:$AM, 10, FALSE), 1)</f>
        <v>1.2514663465917281E-3</v>
      </c>
      <c r="AA2" s="7">
        <f>$B2 * IFERROR(VLOOKUP("transport|SO2|Premature mortality", US_national_yearly!$D:$AM, 35, FALSE) / VLOOKUP("transport|SO2|Premature mortality", US_national_yearly!$D:$AM, 10, FALSE), 1)</f>
        <v>1.2528056717013081E-3</v>
      </c>
      <c r="AB2" s="7">
        <f>$B2 * IFERROR(VLOOKUP("transport|SO2|Premature mortality", US_national_yearly!$D:$AM, 36, FALSE) / VLOOKUP("transport|SO2|Premature mortality", US_national_yearly!$D:$AM, 10, FALSE), 1)</f>
        <v>1.254144996810888E-3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2.1793918478298454E-6</v>
      </c>
      <c r="C3" s="7">
        <f>$B3 * IFERROR(VLOOKUP("transport|SO2|Infant mortality", US_national_yearly!$D:$AM, 11, FALSE) / VLOOKUP("transport|SO2|Infant mortality", US_national_yearly!$D:$AM, 10, FALSE), 1)</f>
        <v>2.1606704743237726E-6</v>
      </c>
      <c r="D3" s="7">
        <f>$B3 * IFERROR(VLOOKUP("transport|SO2|Infant mortality", US_national_yearly!$D:$AM, 12, FALSE) / VLOOKUP("transport|SO2|Infant mortality", US_national_yearly!$D:$AM, 10, FALSE), 1)</f>
        <v>2.1419491008177002E-6</v>
      </c>
      <c r="E3" s="7">
        <f>$B3 * IFERROR(VLOOKUP("transport|SO2|Infant mortality", US_national_yearly!$D:$AM, 13, FALSE) / VLOOKUP("transport|SO2|Infant mortality", US_national_yearly!$D:$AM, 10, FALSE), 1)</f>
        <v>2.123227727311627E-6</v>
      </c>
      <c r="F3" s="7">
        <f>$B3 * IFERROR(VLOOKUP("transport|SO2|Infant mortality", US_national_yearly!$D:$AM, 14, FALSE) / VLOOKUP("transport|SO2|Infant mortality", US_national_yearly!$D:$AM, 10, FALSE), 1)</f>
        <v>2.1045063538055546E-6</v>
      </c>
      <c r="G3" s="7">
        <f>$B3 * IFERROR(VLOOKUP("transport|SO2|Infant mortality", US_national_yearly!$D:$AM, 15, FALSE) / VLOOKUP("transport|SO2|Infant mortality", US_national_yearly!$D:$AM, 10, FALSE), 1)</f>
        <v>1.4017707319028091E-6</v>
      </c>
      <c r="H3" s="7">
        <f>$B3 * IFERROR(VLOOKUP("transport|SO2|Infant mortality", US_national_yearly!$D:$AM, 16, FALSE) / VLOOKUP("transport|SO2|Infant mortality", US_national_yearly!$D:$AM, 10, FALSE), 1)</f>
        <v>6.9903511000006447E-7</v>
      </c>
      <c r="I3" s="7">
        <f>$B3 * IFERROR(VLOOKUP("transport|SO2|Infant mortality", US_national_yearly!$D:$AM, 17, FALSE) / VLOOKUP("transport|SO2|Infant mortality", US_national_yearly!$D:$AM, 10, FALSE), 1)</f>
        <v>6.9464985166455461E-7</v>
      </c>
      <c r="J3" s="7">
        <f>$B3 * IFERROR(VLOOKUP("transport|SO2|Infant mortality", US_national_yearly!$D:$AM, 18, FALSE) / VLOOKUP("transport|SO2|Infant mortality", US_national_yearly!$D:$AM, 10, FALSE), 1)</f>
        <v>6.9026459332904464E-7</v>
      </c>
      <c r="K3" s="7">
        <f>$B3 * IFERROR(VLOOKUP("transport|SO2|Infant mortality", US_national_yearly!$D:$AM, 19, FALSE) / VLOOKUP("transport|SO2|Infant mortality", US_national_yearly!$D:$AM, 10, FALSE), 1)</f>
        <v>6.8587933499353467E-7</v>
      </c>
      <c r="L3" s="7">
        <f>$B3 * IFERROR(VLOOKUP("transport|SO2|Infant mortality", US_national_yearly!$D:$AM, 20, FALSE) / VLOOKUP("transport|SO2|Infant mortality", US_national_yearly!$D:$AM, 10, FALSE), 1)</f>
        <v>6.8149407665802492E-7</v>
      </c>
      <c r="M3" s="7">
        <f>$B3 * IFERROR(VLOOKUP("transport|SO2|Infant mortality", US_national_yearly!$D:$AM, 21, FALSE) / VLOOKUP("transport|SO2|Infant mortality", US_national_yearly!$D:$AM, 10, FALSE), 1)</f>
        <v>6.7710881832251495E-7</v>
      </c>
      <c r="N3" s="7">
        <f>$B3 * IFERROR(VLOOKUP("transport|SO2|Infant mortality", US_national_yearly!$D:$AM, 22, FALSE) / VLOOKUP("transport|SO2|Infant mortality", US_national_yearly!$D:$AM, 10, FALSE), 1)</f>
        <v>6.7435622449626324E-7</v>
      </c>
      <c r="O3" s="7">
        <f>$B3 * IFERROR(VLOOKUP("transport|SO2|Infant mortality", US_national_yearly!$D:$AM, 23, FALSE) / VLOOKUP("transport|SO2|Infant mortality", US_national_yearly!$D:$AM, 10, FALSE), 1)</f>
        <v>6.7160363067001163E-7</v>
      </c>
      <c r="P3" s="7">
        <f>$B3 * IFERROR(VLOOKUP("transport|SO2|Infant mortality", US_national_yearly!$D:$AM, 24, FALSE) / VLOOKUP("transport|SO2|Infant mortality", US_national_yearly!$D:$AM, 10, FALSE), 1)</f>
        <v>6.6885103684375992E-7</v>
      </c>
      <c r="Q3" s="7">
        <f>$B3 * IFERROR(VLOOKUP("transport|SO2|Infant mortality", US_national_yearly!$D:$AM, 25, FALSE) / VLOOKUP("transport|SO2|Infant mortality", US_national_yearly!$D:$AM, 10, FALSE), 1)</f>
        <v>6.660984430175082E-7</v>
      </c>
      <c r="R3" s="7">
        <f>$B3 * IFERROR(VLOOKUP("transport|SO2|Infant mortality", US_national_yearly!$D:$AM, 26, FALSE) / VLOOKUP("transport|SO2|Infant mortality", US_national_yearly!$D:$AM, 10, FALSE), 1)</f>
        <v>6.6334584919125649E-7</v>
      </c>
      <c r="S3" s="7">
        <f>$B3 * IFERROR(VLOOKUP("transport|SO2|Infant mortality", US_national_yearly!$D:$AM, 27, FALSE) / VLOOKUP("transport|SO2|Infant mortality", US_national_yearly!$D:$AM, 10, FALSE), 1)</f>
        <v>6.5988979995079202E-7</v>
      </c>
      <c r="T3" s="7">
        <f>$B3 * IFERROR(VLOOKUP("transport|SO2|Infant mortality", US_national_yearly!$D:$AM, 28, FALSE) / VLOOKUP("transport|SO2|Infant mortality", US_national_yearly!$D:$AM, 10, FALSE), 1)</f>
        <v>6.5643375071032755E-7</v>
      </c>
      <c r="U3" s="7">
        <f>$B3 * IFERROR(VLOOKUP("transport|SO2|Infant mortality", US_national_yearly!$D:$AM, 29, FALSE) / VLOOKUP("transport|SO2|Infant mortality", US_national_yearly!$D:$AM, 10, FALSE), 1)</f>
        <v>6.5297770146986298E-7</v>
      </c>
      <c r="V3" s="7">
        <f>$B3 * IFERROR(VLOOKUP("transport|SO2|Infant mortality", US_national_yearly!$D:$AM, 30, FALSE) / VLOOKUP("transport|SO2|Infant mortality", US_national_yearly!$D:$AM, 10, FALSE), 1)</f>
        <v>6.4952165222939862E-7</v>
      </c>
      <c r="W3" s="7">
        <f>$B3 * IFERROR(VLOOKUP("transport|SO2|Infant mortality", US_national_yearly!$D:$AM, 31, FALSE) / VLOOKUP("transport|SO2|Infant mortality", US_national_yearly!$D:$AM, 10, FALSE), 1)</f>
        <v>6.4606560298893404E-7</v>
      </c>
      <c r="X3" s="7">
        <f>$B3 * IFERROR(VLOOKUP("transport|SO2|Infant mortality", US_national_yearly!$D:$AM, 32, FALSE) / VLOOKUP("transport|SO2|Infant mortality", US_national_yearly!$D:$AM, 10, FALSE), 1)</f>
        <v>6.4228707438322713E-7</v>
      </c>
      <c r="Y3" s="7">
        <f>$B3 * IFERROR(VLOOKUP("transport|SO2|Infant mortality", US_national_yearly!$D:$AM, 33, FALSE) / VLOOKUP("transport|SO2|Infant mortality", US_national_yearly!$D:$AM, 10, FALSE), 1)</f>
        <v>6.3850854577752E-7</v>
      </c>
      <c r="Z3" s="7">
        <f>$B3 * IFERROR(VLOOKUP("transport|SO2|Infant mortality", US_national_yearly!$D:$AM, 34, FALSE) / VLOOKUP("transport|SO2|Infant mortality", US_national_yearly!$D:$AM, 10, FALSE), 1)</f>
        <v>6.3473001717181309E-7</v>
      </c>
      <c r="AA3" s="7">
        <f>$B3 * IFERROR(VLOOKUP("transport|SO2|Infant mortality", US_national_yearly!$D:$AM, 35, FALSE) / VLOOKUP("transport|SO2|Infant mortality", US_national_yearly!$D:$AM, 10, FALSE), 1)</f>
        <v>6.3095148856610597E-7</v>
      </c>
      <c r="AB3" s="7">
        <f>$B3 * IFERROR(VLOOKUP("transport|SO2|Infant mortality", US_national_yearly!$D:$AM, 36, FALSE) / VLOOKUP("transport|SO2|Infant mortality", US_national_yearly!$D:$AM, 10, FALSE), 1)</f>
        <v>6.2717295996039905E-7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2.6491341204020083E-3</v>
      </c>
      <c r="C6" s="7">
        <f>$B6 * IFERROR(VLOOKUP("transport|SO2|Asthma symptoms cough", US_national_yearly!$D:$AM, 11, FALSE) / VLOOKUP("transport|SO2|Asthma symptoms cough", US_national_yearly!$D:$AM, 10, FALSE), 1)</f>
        <v>2.6491341204020083E-3</v>
      </c>
      <c r="D6" s="7">
        <f>$B6 * IFERROR(VLOOKUP("transport|SO2|Asthma symptoms cough", US_national_yearly!$D:$AM, 12, FALSE) / VLOOKUP("transport|SO2|Asthma symptoms cough", US_national_yearly!$D:$AM, 10, FALSE), 1)</f>
        <v>2.6491341204020083E-3</v>
      </c>
      <c r="E6" s="7">
        <f>$B6 * IFERROR(VLOOKUP("transport|SO2|Asthma symptoms cough", US_national_yearly!$D:$AM, 13, FALSE) / VLOOKUP("transport|SO2|Asthma symptoms cough", US_national_yearly!$D:$AM, 10, FALSE), 1)</f>
        <v>2.6491341204020083E-3</v>
      </c>
      <c r="F6" s="7">
        <f>$B6 * IFERROR(VLOOKUP("transport|SO2|Asthma symptoms cough", US_national_yearly!$D:$AM, 14, FALSE) / VLOOKUP("transport|SO2|Asthma symptoms cough", US_national_yearly!$D:$AM, 10, FALSE), 1)</f>
        <v>2.6491341204020083E-3</v>
      </c>
      <c r="G6" s="7">
        <f>$B6 * IFERROR(VLOOKUP("transport|SO2|Asthma symptoms cough", US_national_yearly!$D:$AM, 15, FALSE) / VLOOKUP("transport|SO2|Asthma symptoms cough", US_national_yearly!$D:$AM, 10, FALSE), 1)</f>
        <v>2.6491341204020083E-3</v>
      </c>
      <c r="H6" s="7">
        <f>$B6 * IFERROR(VLOOKUP("transport|SO2|Asthma symptoms cough", US_national_yearly!$D:$AM, 16, FALSE) / VLOOKUP("transport|SO2|Asthma symptoms cough", US_national_yearly!$D:$AM, 10, FALSE), 1)</f>
        <v>2.6491341204020083E-3</v>
      </c>
      <c r="I6" s="7">
        <f>$B6 * IFERROR(VLOOKUP("transport|SO2|Asthma symptoms cough", US_national_yearly!$D:$AM, 17, FALSE) / VLOOKUP("transport|SO2|Asthma symptoms cough", US_national_yearly!$D:$AM, 10, FALSE), 1)</f>
        <v>2.6491341204020083E-3</v>
      </c>
      <c r="J6" s="7">
        <f>$B6 * IFERROR(VLOOKUP("transport|SO2|Asthma symptoms cough", US_national_yearly!$D:$AM, 18, FALSE) / VLOOKUP("transport|SO2|Asthma symptoms cough", US_national_yearly!$D:$AM, 10, FALSE), 1)</f>
        <v>2.6491341204020083E-3</v>
      </c>
      <c r="K6" s="7">
        <f>$B6 * IFERROR(VLOOKUP("transport|SO2|Asthma symptoms cough", US_national_yearly!$D:$AM, 19, FALSE) / VLOOKUP("transport|SO2|Asthma symptoms cough", US_national_yearly!$D:$AM, 10, FALSE), 1)</f>
        <v>2.6491341204020083E-3</v>
      </c>
      <c r="L6" s="7">
        <f>$B6 * IFERROR(VLOOKUP("transport|SO2|Asthma symptoms cough", US_national_yearly!$D:$AM, 20, FALSE) / VLOOKUP("transport|SO2|Asthma symptoms cough", US_national_yearly!$D:$AM, 10, FALSE), 1)</f>
        <v>2.6491341204020083E-3</v>
      </c>
      <c r="M6" s="7">
        <f>$B6 * IFERROR(VLOOKUP("transport|SO2|Asthma symptoms cough", US_national_yearly!$D:$AM, 21, FALSE) / VLOOKUP("transport|SO2|Asthma symptoms cough", US_national_yearly!$D:$AM, 10, FALSE), 1)</f>
        <v>2.6491341204020083E-3</v>
      </c>
      <c r="N6" s="7">
        <f>$B6 * IFERROR(VLOOKUP("transport|SO2|Asthma symptoms cough", US_national_yearly!$D:$AM, 22, FALSE) / VLOOKUP("transport|SO2|Asthma symptoms cough", US_national_yearly!$D:$AM, 10, FALSE), 1)</f>
        <v>2.6491341204020083E-3</v>
      </c>
      <c r="O6" s="7">
        <f>$B6 * IFERROR(VLOOKUP("transport|SO2|Asthma symptoms cough", US_national_yearly!$D:$AM, 23, FALSE) / VLOOKUP("transport|SO2|Asthma symptoms cough", US_national_yearly!$D:$AM, 10, FALSE), 1)</f>
        <v>2.6491341204020083E-3</v>
      </c>
      <c r="P6" s="7">
        <f>$B6 * IFERROR(VLOOKUP("transport|SO2|Asthma symptoms cough", US_national_yearly!$D:$AM, 24, FALSE) / VLOOKUP("transport|SO2|Asthma symptoms cough", US_national_yearly!$D:$AM, 10, FALSE), 1)</f>
        <v>2.6491341204020083E-3</v>
      </c>
      <c r="Q6" s="7">
        <f>$B6 * IFERROR(VLOOKUP("transport|SO2|Asthma symptoms cough", US_national_yearly!$D:$AM, 25, FALSE) / VLOOKUP("transport|SO2|Asthma symptoms cough", US_national_yearly!$D:$AM, 10, FALSE), 1)</f>
        <v>2.6491341204020083E-3</v>
      </c>
      <c r="R6" s="7">
        <f>$B6 * IFERROR(VLOOKUP("transport|SO2|Asthma symptoms cough", US_national_yearly!$D:$AM, 26, FALSE) / VLOOKUP("transport|SO2|Asthma symptoms cough", US_national_yearly!$D:$AM, 10, FALSE), 1)</f>
        <v>2.6491341204020083E-3</v>
      </c>
      <c r="S6" s="7">
        <f>$B6 * IFERROR(VLOOKUP("transport|SO2|Asthma symptoms cough", US_national_yearly!$D:$AM, 27, FALSE) / VLOOKUP("transport|SO2|Asthma symptoms cough", US_national_yearly!$D:$AM, 10, FALSE), 1)</f>
        <v>2.6491341204020083E-3</v>
      </c>
      <c r="T6" s="7">
        <f>$B6 * IFERROR(VLOOKUP("transport|SO2|Asthma symptoms cough", US_national_yearly!$D:$AM, 28, FALSE) / VLOOKUP("transport|SO2|Asthma symptoms cough", US_national_yearly!$D:$AM, 10, FALSE), 1)</f>
        <v>2.6491341204020083E-3</v>
      </c>
      <c r="U6" s="7">
        <f>$B6 * IFERROR(VLOOKUP("transport|SO2|Asthma symptoms cough", US_national_yearly!$D:$AM, 29, FALSE) / VLOOKUP("transport|SO2|Asthma symptoms cough", US_national_yearly!$D:$AM, 10, FALSE), 1)</f>
        <v>2.6491341204020083E-3</v>
      </c>
      <c r="V6" s="7">
        <f>$B6 * IFERROR(VLOOKUP("transport|SO2|Asthma symptoms cough", US_national_yearly!$D:$AM, 30, FALSE) / VLOOKUP("transport|SO2|Asthma symptoms cough", US_national_yearly!$D:$AM, 10, FALSE), 1)</f>
        <v>2.6491341204020083E-3</v>
      </c>
      <c r="W6" s="7">
        <f>$B6 * IFERROR(VLOOKUP("transport|SO2|Asthma symptoms cough", US_national_yearly!$D:$AM, 31, FALSE) / VLOOKUP("transport|SO2|Asthma symptoms cough", US_national_yearly!$D:$AM, 10, FALSE), 1)</f>
        <v>2.6491341204020083E-3</v>
      </c>
      <c r="X6" s="7">
        <f>$B6 * IFERROR(VLOOKUP("transport|SO2|Asthma symptoms cough", US_national_yearly!$D:$AM, 32, FALSE) / VLOOKUP("transport|SO2|Asthma symptoms cough", US_national_yearly!$D:$AM, 10, FALSE), 1)</f>
        <v>2.6491341204020083E-3</v>
      </c>
      <c r="Y6" s="7">
        <f>$B6 * IFERROR(VLOOKUP("transport|SO2|Asthma symptoms cough", US_national_yearly!$D:$AM, 33, FALSE) / VLOOKUP("transport|SO2|Asthma symptoms cough", US_national_yearly!$D:$AM, 10, FALSE), 1)</f>
        <v>2.6491341204020083E-3</v>
      </c>
      <c r="Z6" s="7">
        <f>$B6 * IFERROR(VLOOKUP("transport|SO2|Asthma symptoms cough", US_national_yearly!$D:$AM, 34, FALSE) / VLOOKUP("transport|SO2|Asthma symptoms cough", US_national_yearly!$D:$AM, 10, FALSE), 1)</f>
        <v>2.6491341204020083E-3</v>
      </c>
      <c r="AA6" s="7">
        <f>$B6 * IFERROR(VLOOKUP("transport|SO2|Asthma symptoms cough", US_national_yearly!$D:$AM, 35, FALSE) / VLOOKUP("transport|SO2|Asthma symptoms cough", US_national_yearly!$D:$AM, 10, FALSE), 1)</f>
        <v>2.6491341204020083E-3</v>
      </c>
      <c r="AB6" s="7">
        <f>$B6 * IFERROR(VLOOKUP("transport|SO2|Asthma symptoms cough", US_national_yearly!$D:$AM, 36, FALSE) / VLOOKUP("transport|SO2|Asthma symptoms cough", US_national_yearly!$D:$AM, 10, FALSE), 1)</f>
        <v>2.6491341204020083E-3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3.5674475557370671E-3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3.5674475557370671E-3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3.5674475557370671E-3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3.5674475557370671E-3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3.5674475557370671E-3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3.5674475557370671E-3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3.5674475557370671E-3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3.5674475557370671E-3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3.5674475557370671E-3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3.5674475557370671E-3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3.5674475557370671E-3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3.5674475557370671E-3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3.5674475557370671E-3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3.5674475557370671E-3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3.5674475557370671E-3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3.5674475557370671E-3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3.5674475557370671E-3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3.5674475557370671E-3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3.5674475557370671E-3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3.5674475557370671E-3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3.5674475557370671E-3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3.5674475557370671E-3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3.5674475557370671E-3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3.5674475557370671E-3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3.5674475557370671E-3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3.5674475557370671E-3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3.5674475557370671E-3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5.4504407457013253E-3</v>
      </c>
      <c r="C8" s="7">
        <f>$B8 * IFERROR(VLOOKUP("transport|SO2|Asthma symptoms wheeze", US_national_yearly!$D:$AM, 11, FALSE) / VLOOKUP("transport|SO2|Asthma symptoms wheeze", US_national_yearly!$D:$AM, 10, FALSE), 1)</f>
        <v>5.4504407457013253E-3</v>
      </c>
      <c r="D8" s="7">
        <f>$B8 * IFERROR(VLOOKUP("transport|SO2|Asthma symptoms wheeze", US_national_yearly!$D:$AM, 12, FALSE) / VLOOKUP("transport|SO2|Asthma symptoms wheeze", US_national_yearly!$D:$AM, 10, FALSE), 1)</f>
        <v>5.4504407457013253E-3</v>
      </c>
      <c r="E8" s="7">
        <f>$B8 * IFERROR(VLOOKUP("transport|SO2|Asthma symptoms wheeze", US_national_yearly!$D:$AM, 13, FALSE) / VLOOKUP("transport|SO2|Asthma symptoms wheeze", US_national_yearly!$D:$AM, 10, FALSE), 1)</f>
        <v>5.4504407457013253E-3</v>
      </c>
      <c r="F8" s="7">
        <f>$B8 * IFERROR(VLOOKUP("transport|SO2|Asthma symptoms wheeze", US_national_yearly!$D:$AM, 14, FALSE) / VLOOKUP("transport|SO2|Asthma symptoms wheeze", US_national_yearly!$D:$AM, 10, FALSE), 1)</f>
        <v>5.4504407457013253E-3</v>
      </c>
      <c r="G8" s="7">
        <f>$B8 * IFERROR(VLOOKUP("transport|SO2|Asthma symptoms wheeze", US_national_yearly!$D:$AM, 15, FALSE) / VLOOKUP("transport|SO2|Asthma symptoms wheeze", US_national_yearly!$D:$AM, 10, FALSE), 1)</f>
        <v>5.4504407457013253E-3</v>
      </c>
      <c r="H8" s="7">
        <f>$B8 * IFERROR(VLOOKUP("transport|SO2|Asthma symptoms wheeze", US_national_yearly!$D:$AM, 16, FALSE) / VLOOKUP("transport|SO2|Asthma symptoms wheeze", US_national_yearly!$D:$AM, 10, FALSE), 1)</f>
        <v>5.4504407457013253E-3</v>
      </c>
      <c r="I8" s="7">
        <f>$B8 * IFERROR(VLOOKUP("transport|SO2|Asthma symptoms wheeze", US_national_yearly!$D:$AM, 17, FALSE) / VLOOKUP("transport|SO2|Asthma symptoms wheeze", US_national_yearly!$D:$AM, 10, FALSE), 1)</f>
        <v>5.4504407457013253E-3</v>
      </c>
      <c r="J8" s="7">
        <f>$B8 * IFERROR(VLOOKUP("transport|SO2|Asthma symptoms wheeze", US_national_yearly!$D:$AM, 18, FALSE) / VLOOKUP("transport|SO2|Asthma symptoms wheeze", US_national_yearly!$D:$AM, 10, FALSE), 1)</f>
        <v>5.4504407457013253E-3</v>
      </c>
      <c r="K8" s="7">
        <f>$B8 * IFERROR(VLOOKUP("transport|SO2|Asthma symptoms wheeze", US_national_yearly!$D:$AM, 19, FALSE) / VLOOKUP("transport|SO2|Asthma symptoms wheeze", US_national_yearly!$D:$AM, 10, FALSE), 1)</f>
        <v>5.4504407457013253E-3</v>
      </c>
      <c r="L8" s="7">
        <f>$B8 * IFERROR(VLOOKUP("transport|SO2|Asthma symptoms wheeze", US_national_yearly!$D:$AM, 20, FALSE) / VLOOKUP("transport|SO2|Asthma symptoms wheeze", US_national_yearly!$D:$AM, 10, FALSE), 1)</f>
        <v>5.4504407457013253E-3</v>
      </c>
      <c r="M8" s="7">
        <f>$B8 * IFERROR(VLOOKUP("transport|SO2|Asthma symptoms wheeze", US_national_yearly!$D:$AM, 21, FALSE) / VLOOKUP("transport|SO2|Asthma symptoms wheeze", US_national_yearly!$D:$AM, 10, FALSE), 1)</f>
        <v>5.4504407457013253E-3</v>
      </c>
      <c r="N8" s="7">
        <f>$B8 * IFERROR(VLOOKUP("transport|SO2|Asthma symptoms wheeze", US_national_yearly!$D:$AM, 22, FALSE) / VLOOKUP("transport|SO2|Asthma symptoms wheeze", US_national_yearly!$D:$AM, 10, FALSE), 1)</f>
        <v>5.4504407457013253E-3</v>
      </c>
      <c r="O8" s="7">
        <f>$B8 * IFERROR(VLOOKUP("transport|SO2|Asthma symptoms wheeze", US_national_yearly!$D:$AM, 23, FALSE) / VLOOKUP("transport|SO2|Asthma symptoms wheeze", US_national_yearly!$D:$AM, 10, FALSE), 1)</f>
        <v>5.4504407457013253E-3</v>
      </c>
      <c r="P8" s="7">
        <f>$B8 * IFERROR(VLOOKUP("transport|SO2|Asthma symptoms wheeze", US_national_yearly!$D:$AM, 24, FALSE) / VLOOKUP("transport|SO2|Asthma symptoms wheeze", US_national_yearly!$D:$AM, 10, FALSE), 1)</f>
        <v>5.4504407457013253E-3</v>
      </c>
      <c r="Q8" s="7">
        <f>$B8 * IFERROR(VLOOKUP("transport|SO2|Asthma symptoms wheeze", US_national_yearly!$D:$AM, 25, FALSE) / VLOOKUP("transport|SO2|Asthma symptoms wheeze", US_national_yearly!$D:$AM, 10, FALSE), 1)</f>
        <v>5.4504407457013253E-3</v>
      </c>
      <c r="R8" s="7">
        <f>$B8 * IFERROR(VLOOKUP("transport|SO2|Asthma symptoms wheeze", US_national_yearly!$D:$AM, 26, FALSE) / VLOOKUP("transport|SO2|Asthma symptoms wheeze", US_national_yearly!$D:$AM, 10, FALSE), 1)</f>
        <v>5.4504407457013253E-3</v>
      </c>
      <c r="S8" s="7">
        <f>$B8 * IFERROR(VLOOKUP("transport|SO2|Asthma symptoms wheeze", US_national_yearly!$D:$AM, 27, FALSE) / VLOOKUP("transport|SO2|Asthma symptoms wheeze", US_national_yearly!$D:$AM, 10, FALSE), 1)</f>
        <v>5.4504407457013253E-3</v>
      </c>
      <c r="T8" s="7">
        <f>$B8 * IFERROR(VLOOKUP("transport|SO2|Asthma symptoms wheeze", US_national_yearly!$D:$AM, 28, FALSE) / VLOOKUP("transport|SO2|Asthma symptoms wheeze", US_national_yearly!$D:$AM, 10, FALSE), 1)</f>
        <v>5.4504407457013253E-3</v>
      </c>
      <c r="U8" s="7">
        <f>$B8 * IFERROR(VLOOKUP("transport|SO2|Asthma symptoms wheeze", US_national_yearly!$D:$AM, 29, FALSE) / VLOOKUP("transport|SO2|Asthma symptoms wheeze", US_national_yearly!$D:$AM, 10, FALSE), 1)</f>
        <v>5.4504407457013253E-3</v>
      </c>
      <c r="V8" s="7">
        <f>$B8 * IFERROR(VLOOKUP("transport|SO2|Asthma symptoms wheeze", US_national_yearly!$D:$AM, 30, FALSE) / VLOOKUP("transport|SO2|Asthma symptoms wheeze", US_national_yearly!$D:$AM, 10, FALSE), 1)</f>
        <v>5.4504407457013253E-3</v>
      </c>
      <c r="W8" s="7">
        <f>$B8 * IFERROR(VLOOKUP("transport|SO2|Asthma symptoms wheeze", US_national_yearly!$D:$AM, 31, FALSE) / VLOOKUP("transport|SO2|Asthma symptoms wheeze", US_national_yearly!$D:$AM, 10, FALSE), 1)</f>
        <v>5.4504407457013253E-3</v>
      </c>
      <c r="X8" s="7">
        <f>$B8 * IFERROR(VLOOKUP("transport|SO2|Asthma symptoms wheeze", US_national_yearly!$D:$AM, 32, FALSE) / VLOOKUP("transport|SO2|Asthma symptoms wheeze", US_national_yearly!$D:$AM, 10, FALSE), 1)</f>
        <v>5.4504407457013253E-3</v>
      </c>
      <c r="Y8" s="7">
        <f>$B8 * IFERROR(VLOOKUP("transport|SO2|Asthma symptoms wheeze", US_national_yearly!$D:$AM, 33, FALSE) / VLOOKUP("transport|SO2|Asthma symptoms wheeze", US_national_yearly!$D:$AM, 10, FALSE), 1)</f>
        <v>5.4504407457013253E-3</v>
      </c>
      <c r="Z8" s="7">
        <f>$B8 * IFERROR(VLOOKUP("transport|SO2|Asthma symptoms wheeze", US_national_yearly!$D:$AM, 34, FALSE) / VLOOKUP("transport|SO2|Asthma symptoms wheeze", US_national_yearly!$D:$AM, 10, FALSE), 1)</f>
        <v>5.4504407457013253E-3</v>
      </c>
      <c r="AA8" s="7">
        <f>$B8 * IFERROR(VLOOKUP("transport|SO2|Asthma symptoms wheeze", US_national_yearly!$D:$AM, 35, FALSE) / VLOOKUP("transport|SO2|Asthma symptoms wheeze", US_national_yearly!$D:$AM, 10, FALSE), 1)</f>
        <v>5.4504407457013253E-3</v>
      </c>
      <c r="AB8" s="7">
        <f>$B8 * IFERROR(VLOOKUP("transport|SO2|Asthma symptoms wheeze", US_national_yearly!$D:$AM, 36, FALSE) / VLOOKUP("transport|SO2|Asthma symptoms wheeze", US_national_yearly!$D:$AM, 10, FALSE), 1)</f>
        <v>5.4504407457013253E-3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9.1508163089515314E-5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9.2047882782906245E-5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9.2587602476297177E-5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9.3127322169688095E-5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9.3667041863079026E-5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9.4255427363932692E-5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9.4843812864786373E-5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9.5424031024236131E-5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9.6004249183685931E-5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9.6584467343135676E-5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9.7164685502585475E-5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9.774490366203522E-5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9.816844500791264E-5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9.8591986353790032E-5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9.9015527699667424E-5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9.9439069045544843E-5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9.9862610391422249E-5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1.0026663651827268E-4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1.006706626451231E-4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1.0107468877197354E-4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1.0147871489882397E-4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1.0188274102567441E-4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1.0226609548684845E-4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1.0264944994802248E-4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1.0303280440919652E-4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1.0341615887037055E-4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1.0379951333154462E-4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4.3514587778245052E-4</v>
      </c>
      <c r="C13" s="7">
        <f>$B13 * IFERROR(VLOOKUP("transport|SO2|Non-fatal heart attacks", US_national_yearly!$D:$AM, 11, FALSE) / VLOOKUP("transport|SO2|Non-fatal heart attacks", US_national_yearly!$D:$AM, 10, FALSE), 1)</f>
        <v>4.4792018021765312E-4</v>
      </c>
      <c r="D13" s="7">
        <f>$B13 * IFERROR(VLOOKUP("transport|SO2|Non-fatal heart attacks", US_national_yearly!$D:$AM, 12, FALSE) / VLOOKUP("transport|SO2|Non-fatal heart attacks", US_national_yearly!$D:$AM, 10, FALSE), 1)</f>
        <v>4.6069448265285572E-4</v>
      </c>
      <c r="E13" s="7">
        <f>$B13 * IFERROR(VLOOKUP("transport|SO2|Non-fatal heart attacks", US_national_yearly!$D:$AM, 13, FALSE) / VLOOKUP("transport|SO2|Non-fatal heart attacks", US_national_yearly!$D:$AM, 10, FALSE), 1)</f>
        <v>4.7346878508805837E-4</v>
      </c>
      <c r="F13" s="7">
        <f>$B13 * IFERROR(VLOOKUP("transport|SO2|Non-fatal heart attacks", US_national_yearly!$D:$AM, 14, FALSE) / VLOOKUP("transport|SO2|Non-fatal heart attacks", US_national_yearly!$D:$AM, 10, FALSE), 1)</f>
        <v>4.8624308752326086E-4</v>
      </c>
      <c r="G13" s="7">
        <f>$B13 * IFERROR(VLOOKUP("transport|SO2|Non-fatal heart attacks", US_national_yearly!$D:$AM, 15, FALSE) / VLOOKUP("transport|SO2|Non-fatal heart attacks", US_national_yearly!$D:$AM, 10, FALSE), 1)</f>
        <v>4.9829043960859245E-4</v>
      </c>
      <c r="H13" s="7">
        <f>$B13 * IFERROR(VLOOKUP("transport|SO2|Non-fatal heart attacks", US_national_yearly!$D:$AM, 16, FALSE) / VLOOKUP("transport|SO2|Non-fatal heart attacks", US_national_yearly!$D:$AM, 10, FALSE), 1)</f>
        <v>5.103377916939241E-4</v>
      </c>
      <c r="I13" s="7">
        <f>$B13 * IFERROR(VLOOKUP("transport|SO2|Non-fatal heart attacks", US_national_yearly!$D:$AM, 17, FALSE) / VLOOKUP("transport|SO2|Non-fatal heart attacks", US_national_yearly!$D:$AM, 10, FALSE), 1)</f>
        <v>5.2003213345240464E-4</v>
      </c>
      <c r="J13" s="7">
        <f>$B13 * IFERROR(VLOOKUP("transport|SO2|Non-fatal heart attacks", US_national_yearly!$D:$AM, 18, FALSE) / VLOOKUP("transport|SO2|Non-fatal heart attacks", US_national_yearly!$D:$AM, 10, FALSE), 1)</f>
        <v>5.2972647521088529E-4</v>
      </c>
      <c r="K13" s="7">
        <f>$B13 * IFERROR(VLOOKUP("transport|SO2|Non-fatal heart attacks", US_national_yearly!$D:$AM, 19, FALSE) / VLOOKUP("transport|SO2|Non-fatal heart attacks", US_national_yearly!$D:$AM, 10, FALSE), 1)</f>
        <v>5.3942081696936584E-4</v>
      </c>
      <c r="L13" s="7">
        <f>$B13 * IFERROR(VLOOKUP("transport|SO2|Non-fatal heart attacks", US_national_yearly!$D:$AM, 20, FALSE) / VLOOKUP("transport|SO2|Non-fatal heart attacks", US_national_yearly!$D:$AM, 10, FALSE), 1)</f>
        <v>5.491151587278466E-4</v>
      </c>
      <c r="M13" s="7">
        <f>$B13 * IFERROR(VLOOKUP("transport|SO2|Non-fatal heart attacks", US_national_yearly!$D:$AM, 21, FALSE) / VLOOKUP("transport|SO2|Non-fatal heart attacks", US_national_yearly!$D:$AM, 10, FALSE), 1)</f>
        <v>5.5880950048632725E-4</v>
      </c>
      <c r="N13" s="7">
        <f>$B13 * IFERROR(VLOOKUP("transport|SO2|Non-fatal heart attacks", US_national_yearly!$D:$AM, 22, FALSE) / VLOOKUP("transport|SO2|Non-fatal heart attacks", US_national_yearly!$D:$AM, 10, FALSE), 1)</f>
        <v>5.6510415371329641E-4</v>
      </c>
      <c r="O13" s="7">
        <f>$B13 * IFERROR(VLOOKUP("transport|SO2|Non-fatal heart attacks", US_national_yearly!$D:$AM, 23, FALSE) / VLOOKUP("transport|SO2|Non-fatal heart attacks", US_national_yearly!$D:$AM, 10, FALSE), 1)</f>
        <v>5.7139880694026567E-4</v>
      </c>
      <c r="P13" s="7">
        <f>$B13 * IFERROR(VLOOKUP("transport|SO2|Non-fatal heart attacks", US_national_yearly!$D:$AM, 24, FALSE) / VLOOKUP("transport|SO2|Non-fatal heart attacks", US_national_yearly!$D:$AM, 10, FALSE), 1)</f>
        <v>5.7769346016723505E-4</v>
      </c>
      <c r="Q13" s="7">
        <f>$B13 * IFERROR(VLOOKUP("transport|SO2|Non-fatal heart attacks", US_national_yearly!$D:$AM, 25, FALSE) / VLOOKUP("transport|SO2|Non-fatal heart attacks", US_national_yearly!$D:$AM, 10, FALSE), 1)</f>
        <v>5.8398811339420431E-4</v>
      </c>
      <c r="R13" s="7">
        <f>$B13 * IFERROR(VLOOKUP("transport|SO2|Non-fatal heart attacks", US_national_yearly!$D:$AM, 26, FALSE) / VLOOKUP("transport|SO2|Non-fatal heart attacks", US_national_yearly!$D:$AM, 10, FALSE), 1)</f>
        <v>5.9028276662117347E-4</v>
      </c>
      <c r="S13" s="7">
        <f>$B13 * IFERROR(VLOOKUP("transport|SO2|Non-fatal heart attacks", US_national_yearly!$D:$AM, 27, FALSE) / VLOOKUP("transport|SO2|Non-fatal heart attacks", US_national_yearly!$D:$AM, 10, FALSE), 1)</f>
        <v>5.9356916966487759E-4</v>
      </c>
      <c r="T13" s="7">
        <f>$B13 * IFERROR(VLOOKUP("transport|SO2|Non-fatal heart attacks", US_national_yearly!$D:$AM, 28, FALSE) / VLOOKUP("transport|SO2|Non-fatal heart attacks", US_national_yearly!$D:$AM, 10, FALSE), 1)</f>
        <v>5.9685557270858182E-4</v>
      </c>
      <c r="U13" s="7">
        <f>$B13 * IFERROR(VLOOKUP("transport|SO2|Non-fatal heart attacks", US_national_yearly!$D:$AM, 29, FALSE) / VLOOKUP("transport|SO2|Non-fatal heart attacks", US_national_yearly!$D:$AM, 10, FALSE), 1)</f>
        <v>6.0014197575228583E-4</v>
      </c>
      <c r="V13" s="7">
        <f>$B13 * IFERROR(VLOOKUP("transport|SO2|Non-fatal heart attacks", US_national_yearly!$D:$AM, 30, FALSE) / VLOOKUP("transport|SO2|Non-fatal heart attacks", US_national_yearly!$D:$AM, 10, FALSE), 1)</f>
        <v>6.0342837879598995E-4</v>
      </c>
      <c r="W13" s="7">
        <f>$B13 * IFERROR(VLOOKUP("transport|SO2|Non-fatal heart attacks", US_national_yearly!$D:$AM, 31, FALSE) / VLOOKUP("transport|SO2|Non-fatal heart attacks", US_national_yearly!$D:$AM, 10, FALSE), 1)</f>
        <v>6.0671478183969417E-4</v>
      </c>
      <c r="X13" s="7">
        <f>$B13 * IFERROR(VLOOKUP("transport|SO2|Non-fatal heart attacks", US_national_yearly!$D:$AM, 32, FALSE) / VLOOKUP("transport|SO2|Non-fatal heart attacks", US_national_yearly!$D:$AM, 10, FALSE), 1)</f>
        <v>6.0919572866335999E-4</v>
      </c>
      <c r="Y13" s="7">
        <f>$B13 * IFERROR(VLOOKUP("transport|SO2|Non-fatal heart attacks", US_national_yearly!$D:$AM, 33, FALSE) / VLOOKUP("transport|SO2|Non-fatal heart attacks", US_national_yearly!$D:$AM, 10, FALSE), 1)</f>
        <v>6.1167667548702581E-4</v>
      </c>
      <c r="Z13" s="7">
        <f>$B13 * IFERROR(VLOOKUP("transport|SO2|Non-fatal heart attacks", US_national_yearly!$D:$AM, 34, FALSE) / VLOOKUP("transport|SO2|Non-fatal heart attacks", US_national_yearly!$D:$AM, 10, FALSE), 1)</f>
        <v>6.1415762231069163E-4</v>
      </c>
      <c r="AA13" s="7">
        <f>$B13 * IFERROR(VLOOKUP("transport|SO2|Non-fatal heart attacks", US_national_yearly!$D:$AM, 35, FALSE) / VLOOKUP("transport|SO2|Non-fatal heart attacks", US_national_yearly!$D:$AM, 10, FALSE), 1)</f>
        <v>6.1663856913435745E-4</v>
      </c>
      <c r="AB13" s="7">
        <f>$B13 * IFERROR(VLOOKUP("transport|SO2|Non-fatal heart attacks", US_national_yearly!$D:$AM, 36, FALSE) / VLOOKUP("transport|SO2|Non-fatal heart attacks", US_national_yearly!$D:$AM, 10, FALSE), 1)</f>
        <v>6.1911951595802327E-4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0.30961517749003237</v>
      </c>
      <c r="C14" s="7">
        <f>$B14 * IFERROR(VLOOKUP("transport|SO2|Minor restricted activity days", US_national_yearly!$D:$AM, 11, FALSE) / VLOOKUP("transport|SO2|Minor restricted activity days", US_national_yearly!$D:$AM, 10, FALSE), 1)</f>
        <v>0.31039561419108469</v>
      </c>
      <c r="D14" s="7">
        <f>$B14 * IFERROR(VLOOKUP("transport|SO2|Minor restricted activity days", US_national_yearly!$D:$AM, 12, FALSE) / VLOOKUP("transport|SO2|Minor restricted activity days", US_national_yearly!$D:$AM, 10, FALSE), 1)</f>
        <v>0.31117605089213696</v>
      </c>
      <c r="E14" s="7">
        <f>$B14 * IFERROR(VLOOKUP("transport|SO2|Minor restricted activity days", US_national_yearly!$D:$AM, 13, FALSE) / VLOOKUP("transport|SO2|Minor restricted activity days", US_national_yearly!$D:$AM, 10, FALSE), 1)</f>
        <v>0.31195648759318928</v>
      </c>
      <c r="F14" s="7">
        <f>$B14 * IFERROR(VLOOKUP("transport|SO2|Minor restricted activity days", US_national_yearly!$D:$AM, 14, FALSE) / VLOOKUP("transport|SO2|Minor restricted activity days", US_national_yearly!$D:$AM, 10, FALSE), 1)</f>
        <v>0.31273692429424155</v>
      </c>
      <c r="G14" s="7">
        <f>$B14 * IFERROR(VLOOKUP("transport|SO2|Minor restricted activity days", US_national_yearly!$D:$AM, 15, FALSE) / VLOOKUP("transport|SO2|Minor restricted activity days", US_national_yearly!$D:$AM, 10, FALSE), 1)</f>
        <v>0.31388565044766092</v>
      </c>
      <c r="H14" s="7">
        <f>$B14 * IFERROR(VLOOKUP("transport|SO2|Minor restricted activity days", US_national_yearly!$D:$AM, 16, FALSE) / VLOOKUP("transport|SO2|Minor restricted activity days", US_national_yearly!$D:$AM, 10, FALSE), 1)</f>
        <v>0.3150343766010803</v>
      </c>
      <c r="I14" s="7">
        <f>$B14 * IFERROR(VLOOKUP("transport|SO2|Minor restricted activity days", US_national_yearly!$D:$AM, 17, FALSE) / VLOOKUP("transport|SO2|Minor restricted activity days", US_national_yearly!$D:$AM, 10, FALSE), 1)</f>
        <v>0.31699342198191438</v>
      </c>
      <c r="J14" s="7">
        <f>$B14 * IFERROR(VLOOKUP("transport|SO2|Minor restricted activity days", US_national_yearly!$D:$AM, 18, FALSE) / VLOOKUP("transport|SO2|Minor restricted activity days", US_national_yearly!$D:$AM, 10, FALSE), 1)</f>
        <v>0.31895246736274846</v>
      </c>
      <c r="K14" s="7">
        <f>$B14 * IFERROR(VLOOKUP("transport|SO2|Minor restricted activity days", US_national_yearly!$D:$AM, 19, FALSE) / VLOOKUP("transport|SO2|Minor restricted activity days", US_national_yearly!$D:$AM, 10, FALSE), 1)</f>
        <v>0.32091151274358259</v>
      </c>
      <c r="L14" s="7">
        <f>$B14 * IFERROR(VLOOKUP("transport|SO2|Minor restricted activity days", US_national_yearly!$D:$AM, 20, FALSE) / VLOOKUP("transport|SO2|Minor restricted activity days", US_national_yearly!$D:$AM, 10, FALSE), 1)</f>
        <v>0.32287055812441667</v>
      </c>
      <c r="M14" s="7">
        <f>$B14 * IFERROR(VLOOKUP("transport|SO2|Minor restricted activity days", US_national_yearly!$D:$AM, 21, FALSE) / VLOOKUP("transport|SO2|Minor restricted activity days", US_national_yearly!$D:$AM, 10, FALSE), 1)</f>
        <v>0.32482960350525075</v>
      </c>
      <c r="N14" s="7">
        <f>$B14 * IFERROR(VLOOKUP("transport|SO2|Minor restricted activity days", US_national_yearly!$D:$AM, 22, FALSE) / VLOOKUP("transport|SO2|Minor restricted activity days", US_national_yearly!$D:$AM, 10, FALSE), 1)</f>
        <v>0.32750926323981133</v>
      </c>
      <c r="O14" s="7">
        <f>$B14 * IFERROR(VLOOKUP("transport|SO2|Minor restricted activity days", US_national_yearly!$D:$AM, 23, FALSE) / VLOOKUP("transport|SO2|Minor restricted activity days", US_national_yearly!$D:$AM, 10, FALSE), 1)</f>
        <v>0.33018892297437191</v>
      </c>
      <c r="P14" s="7">
        <f>$B14 * IFERROR(VLOOKUP("transport|SO2|Minor restricted activity days", US_national_yearly!$D:$AM, 24, FALSE) / VLOOKUP("transport|SO2|Minor restricted activity days", US_national_yearly!$D:$AM, 10, FALSE), 1)</f>
        <v>0.33286858270893249</v>
      </c>
      <c r="Q14" s="7">
        <f>$B14 * IFERROR(VLOOKUP("transport|SO2|Minor restricted activity days", US_national_yearly!$D:$AM, 25, FALSE) / VLOOKUP("transport|SO2|Minor restricted activity days", US_national_yearly!$D:$AM, 10, FALSE), 1)</f>
        <v>0.33554824244349307</v>
      </c>
      <c r="R14" s="7">
        <f>$B14 * IFERROR(VLOOKUP("transport|SO2|Minor restricted activity days", US_national_yearly!$D:$AM, 26, FALSE) / VLOOKUP("transport|SO2|Minor restricted activity days", US_national_yearly!$D:$AM, 10, FALSE), 1)</f>
        <v>0.33822790217805371</v>
      </c>
      <c r="S14" s="7">
        <f>$B14 * IFERROR(VLOOKUP("transport|SO2|Minor restricted activity days", US_national_yearly!$D:$AM, 27, FALSE) / VLOOKUP("transport|SO2|Minor restricted activity days", US_national_yearly!$D:$AM, 10, FALSE), 1)</f>
        <v>0.34096007754625374</v>
      </c>
      <c r="T14" s="7">
        <f>$B14 * IFERROR(VLOOKUP("transport|SO2|Minor restricted activity days", US_national_yearly!$D:$AM, 28, FALSE) / VLOOKUP("transport|SO2|Minor restricted activity days", US_national_yearly!$D:$AM, 10, FALSE), 1)</f>
        <v>0.34369225291445382</v>
      </c>
      <c r="U14" s="7">
        <f>$B14 * IFERROR(VLOOKUP("transport|SO2|Minor restricted activity days", US_national_yearly!$D:$AM, 29, FALSE) / VLOOKUP("transport|SO2|Minor restricted activity days", US_national_yearly!$D:$AM, 10, FALSE), 1)</f>
        <v>0.34642442828265391</v>
      </c>
      <c r="V14" s="7">
        <f>$B14 * IFERROR(VLOOKUP("transport|SO2|Minor restricted activity days", US_national_yearly!$D:$AM, 30, FALSE) / VLOOKUP("transport|SO2|Minor restricted activity days", US_national_yearly!$D:$AM, 10, FALSE), 1)</f>
        <v>0.34915660365085399</v>
      </c>
      <c r="W14" s="7">
        <f>$B14 * IFERROR(VLOOKUP("transport|SO2|Minor restricted activity days", US_national_yearly!$D:$AM, 31, FALSE) / VLOOKUP("transport|SO2|Minor restricted activity days", US_national_yearly!$D:$AM, 10, FALSE), 1)</f>
        <v>0.35188877901905413</v>
      </c>
      <c r="X14" s="7">
        <f>$B14 * IFERROR(VLOOKUP("transport|SO2|Minor restricted activity days", US_national_yearly!$D:$AM, 32, FALSE) / VLOOKUP("transport|SO2|Minor restricted activity days", US_national_yearly!$D:$AM, 10, FALSE), 1)</f>
        <v>0.3542915095315648</v>
      </c>
      <c r="Y14" s="7">
        <f>$B14 * IFERROR(VLOOKUP("transport|SO2|Minor restricted activity days", US_national_yearly!$D:$AM, 33, FALSE) / VLOOKUP("transport|SO2|Minor restricted activity days", US_national_yearly!$D:$AM, 10, FALSE), 1)</f>
        <v>0.35669424004407546</v>
      </c>
      <c r="Z14" s="7">
        <f>$B14 * IFERROR(VLOOKUP("transport|SO2|Minor restricted activity days", US_national_yearly!$D:$AM, 34, FALSE) / VLOOKUP("transport|SO2|Minor restricted activity days", US_national_yearly!$D:$AM, 10, FALSE), 1)</f>
        <v>0.35909697055658618</v>
      </c>
      <c r="AA14" s="7">
        <f>$B14 * IFERROR(VLOOKUP("transport|SO2|Minor restricted activity days", US_national_yearly!$D:$AM, 35, FALSE) / VLOOKUP("transport|SO2|Minor restricted activity days", US_national_yearly!$D:$AM, 10, FALSE), 1)</f>
        <v>0.36149970106909685</v>
      </c>
      <c r="AB14" s="7">
        <f>$B14 * IFERROR(VLOOKUP("transport|SO2|Minor restricted activity days", US_national_yearly!$D:$AM, 36, FALSE) / VLOOKUP("transport|SO2|Minor restricted activity days", US_national_yearly!$D:$AM, 10, FALSE), 1)</f>
        <v>0.36390243158160757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5.241013353744764E-2</v>
      </c>
      <c r="C15" s="7">
        <f>$B15 * IFERROR(VLOOKUP("transport|SO2|Work loss days", US_national_yearly!$D:$AM, 11, FALSE) / VLOOKUP("transport|SO2|Work loss days", US_national_yearly!$D:$AM, 10, FALSE), 1)</f>
        <v>5.2579934040255058E-2</v>
      </c>
      <c r="D15" s="7">
        <f>$B15 * IFERROR(VLOOKUP("transport|SO2|Work loss days", US_national_yearly!$D:$AM, 12, FALSE) / VLOOKUP("transport|SO2|Work loss days", US_national_yearly!$D:$AM, 10, FALSE), 1)</f>
        <v>5.2749734543062476E-2</v>
      </c>
      <c r="E15" s="7">
        <f>$B15 * IFERROR(VLOOKUP("transport|SO2|Work loss days", US_national_yearly!$D:$AM, 13, FALSE) / VLOOKUP("transport|SO2|Work loss days", US_national_yearly!$D:$AM, 10, FALSE), 1)</f>
        <v>5.2919535045869895E-2</v>
      </c>
      <c r="F15" s="7">
        <f>$B15 * IFERROR(VLOOKUP("transport|SO2|Work loss days", US_national_yearly!$D:$AM, 14, FALSE) / VLOOKUP("transport|SO2|Work loss days", US_national_yearly!$D:$AM, 10, FALSE), 1)</f>
        <v>5.3089335548677313E-2</v>
      </c>
      <c r="G15" s="7">
        <f>$B15 * IFERROR(VLOOKUP("transport|SO2|Work loss days", US_national_yearly!$D:$AM, 15, FALSE) / VLOOKUP("transport|SO2|Work loss days", US_national_yearly!$D:$AM, 10, FALSE), 1)</f>
        <v>5.3311200682014663E-2</v>
      </c>
      <c r="H15" s="7">
        <f>$B15 * IFERROR(VLOOKUP("transport|SO2|Work loss days", US_national_yearly!$D:$AM, 16, FALSE) / VLOOKUP("transport|SO2|Work loss days", US_national_yearly!$D:$AM, 10, FALSE), 1)</f>
        <v>5.3533065815352006E-2</v>
      </c>
      <c r="I15" s="7">
        <f>$B15 * IFERROR(VLOOKUP("transport|SO2|Work loss days", US_national_yearly!$D:$AM, 17, FALSE) / VLOOKUP("transport|SO2|Work loss days", US_national_yearly!$D:$AM, 10, FALSE), 1)</f>
        <v>5.3857624722179087E-2</v>
      </c>
      <c r="J15" s="7">
        <f>$B15 * IFERROR(VLOOKUP("transport|SO2|Work loss days", US_national_yearly!$D:$AM, 18, FALSE) / VLOOKUP("transport|SO2|Work loss days", US_national_yearly!$D:$AM, 10, FALSE), 1)</f>
        <v>5.4182183629006161E-2</v>
      </c>
      <c r="K15" s="7">
        <f>$B15 * IFERROR(VLOOKUP("transport|SO2|Work loss days", US_national_yearly!$D:$AM, 19, FALSE) / VLOOKUP("transport|SO2|Work loss days", US_national_yearly!$D:$AM, 10, FALSE), 1)</f>
        <v>5.4506742535833243E-2</v>
      </c>
      <c r="L15" s="7">
        <f>$B15 * IFERROR(VLOOKUP("transport|SO2|Work loss days", US_national_yearly!$D:$AM, 20, FALSE) / VLOOKUP("transport|SO2|Work loss days", US_national_yearly!$D:$AM, 10, FALSE), 1)</f>
        <v>5.4831301442660324E-2</v>
      </c>
      <c r="M15" s="7">
        <f>$B15 * IFERROR(VLOOKUP("transport|SO2|Work loss days", US_national_yearly!$D:$AM, 21, FALSE) / VLOOKUP("transport|SO2|Work loss days", US_national_yearly!$D:$AM, 10, FALSE), 1)</f>
        <v>5.5155860349487412E-2</v>
      </c>
      <c r="N15" s="7">
        <f>$B15 * IFERROR(VLOOKUP("transport|SO2|Work loss days", US_national_yearly!$D:$AM, 22, FALSE) / VLOOKUP("transport|SO2|Work loss days", US_national_yearly!$D:$AM, 10, FALSE), 1)</f>
        <v>5.5562804623690072E-2</v>
      </c>
      <c r="O15" s="7">
        <f>$B15 * IFERROR(VLOOKUP("transport|SO2|Work loss days", US_national_yearly!$D:$AM, 23, FALSE) / VLOOKUP("transport|SO2|Work loss days", US_national_yearly!$D:$AM, 10, FALSE), 1)</f>
        <v>5.5969748897892739E-2</v>
      </c>
      <c r="P15" s="7">
        <f>$B15 * IFERROR(VLOOKUP("transport|SO2|Work loss days", US_national_yearly!$D:$AM, 24, FALSE) / VLOOKUP("transport|SO2|Work loss days", US_national_yearly!$D:$AM, 10, FALSE), 1)</f>
        <v>5.6376693172095399E-2</v>
      </c>
      <c r="Q15" s="7">
        <f>$B15 * IFERROR(VLOOKUP("transport|SO2|Work loss days", US_national_yearly!$D:$AM, 25, FALSE) / VLOOKUP("transport|SO2|Work loss days", US_national_yearly!$D:$AM, 10, FALSE), 1)</f>
        <v>5.6783637446298059E-2</v>
      </c>
      <c r="R15" s="7">
        <f>$B15 * IFERROR(VLOOKUP("transport|SO2|Work loss days", US_national_yearly!$D:$AM, 26, FALSE) / VLOOKUP("transport|SO2|Work loss days", US_national_yearly!$D:$AM, 10, FALSE), 1)</f>
        <v>5.7190581720500726E-2</v>
      </c>
      <c r="S15" s="7">
        <f>$B15 * IFERROR(VLOOKUP("transport|SO2|Work loss days", US_national_yearly!$D:$AM, 27, FALSE) / VLOOKUP("transport|SO2|Work loss days", US_national_yearly!$D:$AM, 10, FALSE), 1)</f>
        <v>5.7645340605244066E-2</v>
      </c>
      <c r="T15" s="7">
        <f>$B15 * IFERROR(VLOOKUP("transport|SO2|Work loss days", US_national_yearly!$D:$AM, 28, FALSE) / VLOOKUP("transport|SO2|Work loss days", US_national_yearly!$D:$AM, 10, FALSE), 1)</f>
        <v>5.8100099489987421E-2</v>
      </c>
      <c r="U15" s="7">
        <f>$B15 * IFERROR(VLOOKUP("transport|SO2|Work loss days", US_national_yearly!$D:$AM, 29, FALSE) / VLOOKUP("transport|SO2|Work loss days", US_national_yearly!$D:$AM, 10, FALSE), 1)</f>
        <v>5.8554858374730762E-2</v>
      </c>
      <c r="V15" s="7">
        <f>$B15 * IFERROR(VLOOKUP("transport|SO2|Work loss days", US_national_yearly!$D:$AM, 30, FALSE) / VLOOKUP("transport|SO2|Work loss days", US_national_yearly!$D:$AM, 10, FALSE), 1)</f>
        <v>5.9009617259474102E-2</v>
      </c>
      <c r="W15" s="7">
        <f>$B15 * IFERROR(VLOOKUP("transport|SO2|Work loss days", US_national_yearly!$D:$AM, 31, FALSE) / VLOOKUP("transport|SO2|Work loss days", US_national_yearly!$D:$AM, 10, FALSE), 1)</f>
        <v>5.9464376144217457E-2</v>
      </c>
      <c r="X15" s="7">
        <f>$B15 * IFERROR(VLOOKUP("transport|SO2|Work loss days", US_national_yearly!$D:$AM, 32, FALSE) / VLOOKUP("transport|SO2|Work loss days", US_national_yearly!$D:$AM, 10, FALSE), 1)</f>
        <v>5.9872686940291492E-2</v>
      </c>
      <c r="Y15" s="7">
        <f>$B15 * IFERROR(VLOOKUP("transport|SO2|Work loss days", US_national_yearly!$D:$AM, 33, FALSE) / VLOOKUP("transport|SO2|Work loss days", US_national_yearly!$D:$AM, 10, FALSE), 1)</f>
        <v>6.0280997736365541E-2</v>
      </c>
      <c r="Z15" s="7">
        <f>$B15 * IFERROR(VLOOKUP("transport|SO2|Work loss days", US_national_yearly!$D:$AM, 34, FALSE) / VLOOKUP("transport|SO2|Work loss days", US_national_yearly!$D:$AM, 10, FALSE), 1)</f>
        <v>6.0689308532439583E-2</v>
      </c>
      <c r="AA15" s="7">
        <f>$B15 * IFERROR(VLOOKUP("transport|SO2|Work loss days", US_national_yearly!$D:$AM, 35, FALSE) / VLOOKUP("transport|SO2|Work loss days", US_national_yearly!$D:$AM, 10, FALSE), 1)</f>
        <v>6.1097619328513632E-2</v>
      </c>
      <c r="AB15" s="7">
        <f>$B15 * IFERROR(VLOOKUP("transport|SO2|Work loss days", US_national_yearly!$D:$AM, 36, FALSE) / VLOOKUP("transport|SO2|Work loss days", US_national_yearly!$D:$AM, 10, FALSE), 1)</f>
        <v>6.1505930124587681E-2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7.698272288537938E-5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7.9310975224748285E-5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8.163922756411719E-5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8.3967479903486082E-5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8.6295732242855E-5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8.852597660177613E-5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9.0756220960697259E-5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9.2667105147905383E-5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9.4577989335113493E-5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9.6488873522321617E-5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9.839975770952974E-5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1.0031064189673784E-4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1.0159432079066926E-4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1.0287799968460067E-4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1.0416167857853208E-4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1.0544535747246349E-4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1.0672903636639492E-4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1.0740416006658022E-4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1.0807928376676553E-4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1.0875440746695084E-4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1.0942953116713615E-4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1.1010465486732146E-4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1.1055788772514027E-4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1.1101112058295909E-4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1.1146435344077791E-4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1.1191758629859674E-4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1.1237081915641553E-4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5.0056706712094771E-3</v>
      </c>
      <c r="C2" s="7">
        <f>$B2 * IFERROR(VLOOKUP("electricity|PM25|Premature mortality", US_national_yearly!$D:$AM, 11, FALSE) / VLOOKUP("electricity|PM25|Premature mortality", US_national_yearly!$D:$AM, 10, FALSE), 1)</f>
        <v>5.0676720981800948E-3</v>
      </c>
      <c r="D2" s="7">
        <f>$B2 * IFERROR(VLOOKUP("electricity|PM25|Premature mortality", US_national_yearly!$D:$AM, 12, FALSE) / VLOOKUP("electricity|PM25|Premature mortality", US_national_yearly!$D:$AM, 10, FALSE), 1)</f>
        <v>5.1296735251507115E-3</v>
      </c>
      <c r="E2" s="7">
        <f>$B2 * IFERROR(VLOOKUP("electricity|PM25|Premature mortality", US_national_yearly!$D:$AM, 13, FALSE) / VLOOKUP("electricity|PM25|Premature mortality", US_national_yearly!$D:$AM, 10, FALSE), 1)</f>
        <v>5.1916749521213291E-3</v>
      </c>
      <c r="F2" s="7">
        <f>$B2 * IFERROR(VLOOKUP("electricity|PM25|Premature mortality", US_national_yearly!$D:$AM, 14, FALSE) / VLOOKUP("electricity|PM25|Premature mortality", US_national_yearly!$D:$AM, 10, FALSE), 1)</f>
        <v>5.2536763790919476E-3</v>
      </c>
      <c r="G2" s="7">
        <f>$B2 * IFERROR(VLOOKUP("electricity|PM25|Premature mortality", US_national_yearly!$D:$AM, 15, FALSE) / VLOOKUP("electricity|PM25|Premature mortality", US_national_yearly!$D:$AM, 10, FALSE), 1)</f>
        <v>5.3754504790019817E-3</v>
      </c>
      <c r="H2" s="7">
        <f>$B2 * IFERROR(VLOOKUP("electricity|PM25|Premature mortality", US_national_yearly!$D:$AM, 16, FALSE) / VLOOKUP("electricity|PM25|Premature mortality", US_national_yearly!$D:$AM, 10, FALSE), 1)</f>
        <v>5.4972245789120166E-3</v>
      </c>
      <c r="I2" s="7">
        <f>$B2 * IFERROR(VLOOKUP("electricity|PM25|Premature mortality", US_national_yearly!$D:$AM, 17, FALSE) / VLOOKUP("electricity|PM25|Premature mortality", US_national_yearly!$D:$AM, 10, FALSE), 1)</f>
        <v>5.5790456310361664E-3</v>
      </c>
      <c r="J2" s="7">
        <f>$B2 * IFERROR(VLOOKUP("electricity|PM25|Premature mortality", US_national_yearly!$D:$AM, 18, FALSE) / VLOOKUP("electricity|PM25|Premature mortality", US_national_yearly!$D:$AM, 10, FALSE), 1)</f>
        <v>5.6608666831603179E-3</v>
      </c>
      <c r="K2" s="7">
        <f>$B2 * IFERROR(VLOOKUP("electricity|PM25|Premature mortality", US_national_yearly!$D:$AM, 19, FALSE) / VLOOKUP("electricity|PM25|Premature mortality", US_national_yearly!$D:$AM, 10, FALSE), 1)</f>
        <v>5.7426877352844677E-3</v>
      </c>
      <c r="L2" s="7">
        <f>$B2 * IFERROR(VLOOKUP("electricity|PM25|Premature mortality", US_national_yearly!$D:$AM, 20, FALSE) / VLOOKUP("electricity|PM25|Premature mortality", US_national_yearly!$D:$AM, 10, FALSE), 1)</f>
        <v>5.8245087874086192E-3</v>
      </c>
      <c r="M2" s="7">
        <f>$B2 * IFERROR(VLOOKUP("electricity|PM25|Premature mortality", US_national_yearly!$D:$AM, 21, FALSE) / VLOOKUP("electricity|PM25|Premature mortality", US_national_yearly!$D:$AM, 10, FALSE), 1)</f>
        <v>5.9063298395327689E-3</v>
      </c>
      <c r="N2" s="7">
        <f>$B2 * IFERROR(VLOOKUP("electricity|PM25|Premature mortality", US_national_yearly!$D:$AM, 22, FALSE) / VLOOKUP("electricity|PM25|Premature mortality", US_national_yearly!$D:$AM, 10, FALSE), 1)</f>
        <v>5.9715504815689175E-3</v>
      </c>
      <c r="O2" s="7">
        <f>$B2 * IFERROR(VLOOKUP("electricity|PM25|Premature mortality", US_national_yearly!$D:$AM, 23, FALSE) / VLOOKUP("electricity|PM25|Premature mortality", US_national_yearly!$D:$AM, 10, FALSE), 1)</f>
        <v>6.0367711236050652E-3</v>
      </c>
      <c r="P2" s="7">
        <f>$B2 * IFERROR(VLOOKUP("electricity|PM25|Premature mortality", US_national_yearly!$D:$AM, 24, FALSE) / VLOOKUP("electricity|PM25|Premature mortality", US_national_yearly!$D:$AM, 10, FALSE), 1)</f>
        <v>6.1019917656412147E-3</v>
      </c>
      <c r="Q2" s="7">
        <f>$B2 * IFERROR(VLOOKUP("electricity|PM25|Premature mortality", US_national_yearly!$D:$AM, 25, FALSE) / VLOOKUP("electricity|PM25|Premature mortality", US_national_yearly!$D:$AM, 10, FALSE), 1)</f>
        <v>6.1672124076773624E-3</v>
      </c>
      <c r="R2" s="7">
        <f>$B2 * IFERROR(VLOOKUP("electricity|PM25|Premature mortality", US_national_yearly!$D:$AM, 26, FALSE) / VLOOKUP("electricity|PM25|Premature mortality", US_national_yearly!$D:$AM, 10, FALSE), 1)</f>
        <v>6.2324330497135118E-3</v>
      </c>
      <c r="S2" s="7">
        <f>$B2 * IFERROR(VLOOKUP("electricity|PM25|Premature mortality", US_national_yearly!$D:$AM, 27, FALSE) / VLOOKUP("electricity|PM25|Premature mortality", US_national_yearly!$D:$AM, 10, FALSE), 1)</f>
        <v>6.2697526506528111E-3</v>
      </c>
      <c r="T2" s="7">
        <f>$B2 * IFERROR(VLOOKUP("electricity|PM25|Premature mortality", US_national_yearly!$D:$AM, 28, FALSE) / VLOOKUP("electricity|PM25|Premature mortality", US_national_yearly!$D:$AM, 10, FALSE), 1)</f>
        <v>6.3070722515921104E-3</v>
      </c>
      <c r="U2" s="7">
        <f>$B2 * IFERROR(VLOOKUP("electricity|PM25|Premature mortality", US_national_yearly!$D:$AM, 29, FALSE) / VLOOKUP("electricity|PM25|Premature mortality", US_national_yearly!$D:$AM, 10, FALSE), 1)</f>
        <v>6.3443918525314114E-3</v>
      </c>
      <c r="V2" s="7">
        <f>$B2 * IFERROR(VLOOKUP("electricity|PM25|Premature mortality", US_national_yearly!$D:$AM, 30, FALSE) / VLOOKUP("electricity|PM25|Premature mortality", US_national_yearly!$D:$AM, 10, FALSE), 1)</f>
        <v>6.3817114534707106E-3</v>
      </c>
      <c r="W2" s="7">
        <f>$B2 * IFERROR(VLOOKUP("electricity|PM25|Premature mortality", US_national_yearly!$D:$AM, 31, FALSE) / VLOOKUP("electricity|PM25|Premature mortality", US_national_yearly!$D:$AM, 10, FALSE), 1)</f>
        <v>6.4190310544100099E-3</v>
      </c>
      <c r="X2" s="7">
        <f>$B2 * IFERROR(VLOOKUP("electricity|PM25|Premature mortality", US_national_yearly!$D:$AM, 32, FALSE) / VLOOKUP("electricity|PM25|Premature mortality", US_national_yearly!$D:$AM, 10, FALSE), 1)</f>
        <v>6.4293981982576067E-3</v>
      </c>
      <c r="Y2" s="7">
        <f>$B2 * IFERROR(VLOOKUP("electricity|PM25|Premature mortality", US_national_yearly!$D:$AM, 33, FALSE) / VLOOKUP("electricity|PM25|Premature mortality", US_national_yearly!$D:$AM, 10, FALSE), 1)</f>
        <v>6.4397653421052036E-3</v>
      </c>
      <c r="Z2" s="7">
        <f>$B2 * IFERROR(VLOOKUP("electricity|PM25|Premature mortality", US_national_yearly!$D:$AM, 34, FALSE) / VLOOKUP("electricity|PM25|Premature mortality", US_national_yearly!$D:$AM, 10, FALSE), 1)</f>
        <v>6.4501324859528005E-3</v>
      </c>
      <c r="AA2" s="7">
        <f>$B2 * IFERROR(VLOOKUP("electricity|PM25|Premature mortality", US_national_yearly!$D:$AM, 35, FALSE) / VLOOKUP("electricity|PM25|Premature mortality", US_national_yearly!$D:$AM, 10, FALSE), 1)</f>
        <v>6.4604996298003982E-3</v>
      </c>
      <c r="AB2" s="7">
        <f>$B2 * IFERROR(VLOOKUP("electricity|PM25|Premature mortality", US_national_yearly!$D:$AM, 36, FALSE) / VLOOKUP("electricity|PM25|Premature mortality", US_national_yearly!$D:$AM, 10, FALSE), 1)</f>
        <v>6.4708667736479951E-3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1.0459292016186562E-5</v>
      </c>
      <c r="C3" s="7">
        <f>$B3 * IFERROR(VLOOKUP("electricity|PM25|Infant mortality", US_national_yearly!$D:$AM, 11, FALSE) / VLOOKUP("electricity|PM25|Infant mortality", US_national_yearly!$D:$AM, 10, FALSE), 1)</f>
        <v>1.0368160231195346E-5</v>
      </c>
      <c r="D3" s="7">
        <f>$B3 * IFERROR(VLOOKUP("electricity|PM25|Infant mortality", US_national_yearly!$D:$AM, 12, FALSE) / VLOOKUP("electricity|PM25|Infant mortality", US_national_yearly!$D:$AM, 10, FALSE), 1)</f>
        <v>1.0277028446204132E-5</v>
      </c>
      <c r="E3" s="7">
        <f>$B3 * IFERROR(VLOOKUP("electricity|PM25|Infant mortality", US_national_yearly!$D:$AM, 13, FALSE) / VLOOKUP("electricity|PM25|Infant mortality", US_national_yearly!$D:$AM, 10, FALSE), 1)</f>
        <v>1.0185896661212917E-5</v>
      </c>
      <c r="F3" s="7">
        <f>$B3 * IFERROR(VLOOKUP("electricity|PM25|Infant mortality", US_national_yearly!$D:$AM, 14, FALSE) / VLOOKUP("electricity|PM25|Infant mortality", US_national_yearly!$D:$AM, 10, FALSE), 1)</f>
        <v>1.0094764876221701E-5</v>
      </c>
      <c r="G3" s="7">
        <f>$B3 * IFERROR(VLOOKUP("electricity|PM25|Infant mortality", US_national_yearly!$D:$AM, 15, FALSE) / VLOOKUP("electricity|PM25|Infant mortality", US_national_yearly!$D:$AM, 10, FALSE), 1)</f>
        <v>6.694533428082322E-6</v>
      </c>
      <c r="H3" s="7">
        <f>$B3 * IFERROR(VLOOKUP("electricity|PM25|Infant mortality", US_national_yearly!$D:$AM, 16, FALSE) / VLOOKUP("electricity|PM25|Infant mortality", US_national_yearly!$D:$AM, 10, FALSE), 1)</f>
        <v>3.2943019799429425E-6</v>
      </c>
      <c r="I3" s="7">
        <f>$B3 * IFERROR(VLOOKUP("electricity|PM25|Infant mortality", US_national_yearly!$D:$AM, 17, FALSE) / VLOOKUP("electricity|PM25|Infant mortality", US_national_yearly!$D:$AM, 10, FALSE), 1)</f>
        <v>3.2710426984352074E-6</v>
      </c>
      <c r="J3" s="7">
        <f>$B3 * IFERROR(VLOOKUP("electricity|PM25|Infant mortality", US_national_yearly!$D:$AM, 18, FALSE) / VLOOKUP("electricity|PM25|Infant mortality", US_national_yearly!$D:$AM, 10, FALSE), 1)</f>
        <v>3.247783416927474E-6</v>
      </c>
      <c r="K3" s="7">
        <f>$B3 * IFERROR(VLOOKUP("electricity|PM25|Infant mortality", US_national_yearly!$D:$AM, 19, FALSE) / VLOOKUP("electricity|PM25|Infant mortality", US_national_yearly!$D:$AM, 10, FALSE), 1)</f>
        <v>3.2245241354197393E-6</v>
      </c>
      <c r="L3" s="7">
        <f>$B3 * IFERROR(VLOOKUP("electricity|PM25|Infant mortality", US_national_yearly!$D:$AM, 20, FALSE) / VLOOKUP("electricity|PM25|Infant mortality", US_national_yearly!$D:$AM, 10, FALSE), 1)</f>
        <v>3.2012648539120051E-6</v>
      </c>
      <c r="M3" s="7">
        <f>$B3 * IFERROR(VLOOKUP("electricity|PM25|Infant mortality", US_national_yearly!$D:$AM, 21, FALSE) / VLOOKUP("electricity|PM25|Infant mortality", US_national_yearly!$D:$AM, 10, FALSE), 1)</f>
        <v>3.1780055724042712E-6</v>
      </c>
      <c r="N3" s="7">
        <f>$B3 * IFERROR(VLOOKUP("electricity|PM25|Infant mortality", US_national_yearly!$D:$AM, 22, FALSE) / VLOOKUP("electricity|PM25|Infant mortality", US_national_yearly!$D:$AM, 10, FALSE), 1)</f>
        <v>3.1630467663136284E-6</v>
      </c>
      <c r="O3" s="7">
        <f>$B3 * IFERROR(VLOOKUP("electricity|PM25|Infant mortality", US_national_yearly!$D:$AM, 23, FALSE) / VLOOKUP("electricity|PM25|Infant mortality", US_national_yearly!$D:$AM, 10, FALSE), 1)</f>
        <v>3.1480879602229852E-6</v>
      </c>
      <c r="P3" s="7">
        <f>$B3 * IFERROR(VLOOKUP("electricity|PM25|Infant mortality", US_national_yearly!$D:$AM, 24, FALSE) / VLOOKUP("electricity|PM25|Infant mortality", US_national_yearly!$D:$AM, 10, FALSE), 1)</f>
        <v>3.1331291541323419E-6</v>
      </c>
      <c r="Q3" s="7">
        <f>$B3 * IFERROR(VLOOKUP("electricity|PM25|Infant mortality", US_national_yearly!$D:$AM, 25, FALSE) / VLOOKUP("electricity|PM25|Infant mortality", US_national_yearly!$D:$AM, 10, FALSE), 1)</f>
        <v>3.1181703480416991E-6</v>
      </c>
      <c r="R3" s="7">
        <f>$B3 * IFERROR(VLOOKUP("electricity|PM25|Infant mortality", US_national_yearly!$D:$AM, 26, FALSE) / VLOOKUP("electricity|PM25|Infant mortality", US_national_yearly!$D:$AM, 10, FALSE), 1)</f>
        <v>3.1032115419510554E-6</v>
      </c>
      <c r="S3" s="7">
        <f>$B3 * IFERROR(VLOOKUP("electricity|PM25|Infant mortality", US_national_yearly!$D:$AM, 27, FALSE) / VLOOKUP("electricity|PM25|Infant mortality", US_national_yearly!$D:$AM, 10, FALSE), 1)</f>
        <v>3.0852905579772485E-6</v>
      </c>
      <c r="T3" s="7">
        <f>$B3 * IFERROR(VLOOKUP("electricity|PM25|Infant mortality", US_national_yearly!$D:$AM, 28, FALSE) / VLOOKUP("electricity|PM25|Infant mortality", US_national_yearly!$D:$AM, 10, FALSE), 1)</f>
        <v>3.0673695740034415E-6</v>
      </c>
      <c r="U3" s="7">
        <f>$B3 * IFERROR(VLOOKUP("electricity|PM25|Infant mortality", US_national_yearly!$D:$AM, 29, FALSE) / VLOOKUP("electricity|PM25|Infant mortality", US_national_yearly!$D:$AM, 10, FALSE), 1)</f>
        <v>3.049448590029635E-6</v>
      </c>
      <c r="V3" s="7">
        <f>$B3 * IFERROR(VLOOKUP("electricity|PM25|Infant mortality", US_national_yearly!$D:$AM, 30, FALSE) / VLOOKUP("electricity|PM25|Infant mortality", US_national_yearly!$D:$AM, 10, FALSE), 1)</f>
        <v>3.031527606055828E-6</v>
      </c>
      <c r="W3" s="7">
        <f>$B3 * IFERROR(VLOOKUP("electricity|PM25|Infant mortality", US_national_yearly!$D:$AM, 31, FALSE) / VLOOKUP("electricity|PM25|Infant mortality", US_national_yearly!$D:$AM, 10, FALSE), 1)</f>
        <v>3.0136066220820211E-6</v>
      </c>
      <c r="X3" s="7">
        <f>$B3 * IFERROR(VLOOKUP("electricity|PM25|Infant mortality", US_national_yearly!$D:$AM, 32, FALSE) / VLOOKUP("electricity|PM25|Infant mortality", US_national_yearly!$D:$AM, 10, FALSE), 1)</f>
        <v>2.9950875226822153E-6</v>
      </c>
      <c r="Y3" s="7">
        <f>$B3 * IFERROR(VLOOKUP("electricity|PM25|Infant mortality", US_national_yearly!$D:$AM, 33, FALSE) / VLOOKUP("electricity|PM25|Infant mortality", US_national_yearly!$D:$AM, 10, FALSE), 1)</f>
        <v>2.9765684232824092E-6</v>
      </c>
      <c r="Z3" s="7">
        <f>$B3 * IFERROR(VLOOKUP("electricity|PM25|Infant mortality", US_national_yearly!$D:$AM, 34, FALSE) / VLOOKUP("electricity|PM25|Infant mortality", US_national_yearly!$D:$AM, 10, FALSE), 1)</f>
        <v>2.9580493238826034E-6</v>
      </c>
      <c r="AA3" s="7">
        <f>$B3 * IFERROR(VLOOKUP("electricity|PM25|Infant mortality", US_national_yearly!$D:$AM, 35, FALSE) / VLOOKUP("electricity|PM25|Infant mortality", US_national_yearly!$D:$AM, 10, FALSE), 1)</f>
        <v>2.9395302244827977E-6</v>
      </c>
      <c r="AB3" s="7">
        <f>$B3 * IFERROR(VLOOKUP("electricity|PM25|Infant mortality", US_national_yearly!$D:$AM, 36, FALSE) / VLOOKUP("electricity|PM25|Infant mortality", US_national_yearly!$D:$AM, 10, FALSE), 1)</f>
        <v>2.9210111250829915E-6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1.2969982012227948E-2</v>
      </c>
      <c r="C6" s="7">
        <f>$B6 * IFERROR(VLOOKUP("electricity|PM25|Asthma symptoms cough", US_national_yearly!$D:$AM, 11, FALSE) / VLOOKUP("electricity|PM25|Asthma symptoms cough", US_national_yearly!$D:$AM, 10, FALSE), 1)</f>
        <v>1.2969982012227948E-2</v>
      </c>
      <c r="D6" s="7">
        <f>$B6 * IFERROR(VLOOKUP("electricity|PM25|Asthma symptoms cough", US_national_yearly!$D:$AM, 12, FALSE) / VLOOKUP("electricity|PM25|Asthma symptoms cough", US_national_yearly!$D:$AM, 10, FALSE), 1)</f>
        <v>1.2969982012227948E-2</v>
      </c>
      <c r="E6" s="7">
        <f>$B6 * IFERROR(VLOOKUP("electricity|PM25|Asthma symptoms cough", US_national_yearly!$D:$AM, 13, FALSE) / VLOOKUP("electricity|PM25|Asthma symptoms cough", US_national_yearly!$D:$AM, 10, FALSE), 1)</f>
        <v>1.2969982012227948E-2</v>
      </c>
      <c r="F6" s="7">
        <f>$B6 * IFERROR(VLOOKUP("electricity|PM25|Asthma symptoms cough", US_national_yearly!$D:$AM, 14, FALSE) / VLOOKUP("electricity|PM25|Asthma symptoms cough", US_national_yearly!$D:$AM, 10, FALSE), 1)</f>
        <v>1.2969982012227948E-2</v>
      </c>
      <c r="G6" s="7">
        <f>$B6 * IFERROR(VLOOKUP("electricity|PM25|Asthma symptoms cough", US_national_yearly!$D:$AM, 15, FALSE) / VLOOKUP("electricity|PM25|Asthma symptoms cough", US_national_yearly!$D:$AM, 10, FALSE), 1)</f>
        <v>1.2969982012227948E-2</v>
      </c>
      <c r="H6" s="7">
        <f>$B6 * IFERROR(VLOOKUP("electricity|PM25|Asthma symptoms cough", US_national_yearly!$D:$AM, 16, FALSE) / VLOOKUP("electricity|PM25|Asthma symptoms cough", US_national_yearly!$D:$AM, 10, FALSE), 1)</f>
        <v>1.2969982012227948E-2</v>
      </c>
      <c r="I6" s="7">
        <f>$B6 * IFERROR(VLOOKUP("electricity|PM25|Asthma symptoms cough", US_national_yearly!$D:$AM, 17, FALSE) / VLOOKUP("electricity|PM25|Asthma symptoms cough", US_national_yearly!$D:$AM, 10, FALSE), 1)</f>
        <v>1.2969982012227948E-2</v>
      </c>
      <c r="J6" s="7">
        <f>$B6 * IFERROR(VLOOKUP("electricity|PM25|Asthma symptoms cough", US_national_yearly!$D:$AM, 18, FALSE) / VLOOKUP("electricity|PM25|Asthma symptoms cough", US_national_yearly!$D:$AM, 10, FALSE), 1)</f>
        <v>1.2969982012227948E-2</v>
      </c>
      <c r="K6" s="7">
        <f>$B6 * IFERROR(VLOOKUP("electricity|PM25|Asthma symptoms cough", US_national_yearly!$D:$AM, 19, FALSE) / VLOOKUP("electricity|PM25|Asthma symptoms cough", US_national_yearly!$D:$AM, 10, FALSE), 1)</f>
        <v>1.2969982012227948E-2</v>
      </c>
      <c r="L6" s="7">
        <f>$B6 * IFERROR(VLOOKUP("electricity|PM25|Asthma symptoms cough", US_national_yearly!$D:$AM, 20, FALSE) / VLOOKUP("electricity|PM25|Asthma symptoms cough", US_national_yearly!$D:$AM, 10, FALSE), 1)</f>
        <v>1.2969982012227948E-2</v>
      </c>
      <c r="M6" s="7">
        <f>$B6 * IFERROR(VLOOKUP("electricity|PM25|Asthma symptoms cough", US_national_yearly!$D:$AM, 21, FALSE) / VLOOKUP("electricity|PM25|Asthma symptoms cough", US_national_yearly!$D:$AM, 10, FALSE), 1)</f>
        <v>1.2969982012227948E-2</v>
      </c>
      <c r="N6" s="7">
        <f>$B6 * IFERROR(VLOOKUP("electricity|PM25|Asthma symptoms cough", US_national_yearly!$D:$AM, 22, FALSE) / VLOOKUP("electricity|PM25|Asthma symptoms cough", US_national_yearly!$D:$AM, 10, FALSE), 1)</f>
        <v>1.2969982012227948E-2</v>
      </c>
      <c r="O6" s="7">
        <f>$B6 * IFERROR(VLOOKUP("electricity|PM25|Asthma symptoms cough", US_national_yearly!$D:$AM, 23, FALSE) / VLOOKUP("electricity|PM25|Asthma symptoms cough", US_national_yearly!$D:$AM, 10, FALSE), 1)</f>
        <v>1.2969982012227948E-2</v>
      </c>
      <c r="P6" s="7">
        <f>$B6 * IFERROR(VLOOKUP("electricity|PM25|Asthma symptoms cough", US_national_yearly!$D:$AM, 24, FALSE) / VLOOKUP("electricity|PM25|Asthma symptoms cough", US_national_yearly!$D:$AM, 10, FALSE), 1)</f>
        <v>1.2969982012227948E-2</v>
      </c>
      <c r="Q6" s="7">
        <f>$B6 * IFERROR(VLOOKUP("electricity|PM25|Asthma symptoms cough", US_national_yearly!$D:$AM, 25, FALSE) / VLOOKUP("electricity|PM25|Asthma symptoms cough", US_national_yearly!$D:$AM, 10, FALSE), 1)</f>
        <v>1.2969982012227948E-2</v>
      </c>
      <c r="R6" s="7">
        <f>$B6 * IFERROR(VLOOKUP("electricity|PM25|Asthma symptoms cough", US_national_yearly!$D:$AM, 26, FALSE) / VLOOKUP("electricity|PM25|Asthma symptoms cough", US_national_yearly!$D:$AM, 10, FALSE), 1)</f>
        <v>1.2969982012227948E-2</v>
      </c>
      <c r="S6" s="7">
        <f>$B6 * IFERROR(VLOOKUP("electricity|PM25|Asthma symptoms cough", US_national_yearly!$D:$AM, 27, FALSE) / VLOOKUP("electricity|PM25|Asthma symptoms cough", US_national_yearly!$D:$AM, 10, FALSE), 1)</f>
        <v>1.2969982012227948E-2</v>
      </c>
      <c r="T6" s="7">
        <f>$B6 * IFERROR(VLOOKUP("electricity|PM25|Asthma symptoms cough", US_national_yearly!$D:$AM, 28, FALSE) / VLOOKUP("electricity|PM25|Asthma symptoms cough", US_national_yearly!$D:$AM, 10, FALSE), 1)</f>
        <v>1.2969982012227948E-2</v>
      </c>
      <c r="U6" s="7">
        <f>$B6 * IFERROR(VLOOKUP("electricity|PM25|Asthma symptoms cough", US_national_yearly!$D:$AM, 29, FALSE) / VLOOKUP("electricity|PM25|Asthma symptoms cough", US_national_yearly!$D:$AM, 10, FALSE), 1)</f>
        <v>1.2969982012227948E-2</v>
      </c>
      <c r="V6" s="7">
        <f>$B6 * IFERROR(VLOOKUP("electricity|PM25|Asthma symptoms cough", US_national_yearly!$D:$AM, 30, FALSE) / VLOOKUP("electricity|PM25|Asthma symptoms cough", US_national_yearly!$D:$AM, 10, FALSE), 1)</f>
        <v>1.2969982012227948E-2</v>
      </c>
      <c r="W6" s="7">
        <f>$B6 * IFERROR(VLOOKUP("electricity|PM25|Asthma symptoms cough", US_national_yearly!$D:$AM, 31, FALSE) / VLOOKUP("electricity|PM25|Asthma symptoms cough", US_national_yearly!$D:$AM, 10, FALSE), 1)</f>
        <v>1.2969982012227948E-2</v>
      </c>
      <c r="X6" s="7">
        <f>$B6 * IFERROR(VLOOKUP("electricity|PM25|Asthma symptoms cough", US_national_yearly!$D:$AM, 32, FALSE) / VLOOKUP("electricity|PM25|Asthma symptoms cough", US_national_yearly!$D:$AM, 10, FALSE), 1)</f>
        <v>1.2969982012227948E-2</v>
      </c>
      <c r="Y6" s="7">
        <f>$B6 * IFERROR(VLOOKUP("electricity|PM25|Asthma symptoms cough", US_national_yearly!$D:$AM, 33, FALSE) / VLOOKUP("electricity|PM25|Asthma symptoms cough", US_national_yearly!$D:$AM, 10, FALSE), 1)</f>
        <v>1.2969982012227948E-2</v>
      </c>
      <c r="Z6" s="7">
        <f>$B6 * IFERROR(VLOOKUP("electricity|PM25|Asthma symptoms cough", US_national_yearly!$D:$AM, 34, FALSE) / VLOOKUP("electricity|PM25|Asthma symptoms cough", US_national_yearly!$D:$AM, 10, FALSE), 1)</f>
        <v>1.2969982012227948E-2</v>
      </c>
      <c r="AA6" s="7">
        <f>$B6 * IFERROR(VLOOKUP("electricity|PM25|Asthma symptoms cough", US_national_yearly!$D:$AM, 35, FALSE) / VLOOKUP("electricity|PM25|Asthma symptoms cough", US_national_yearly!$D:$AM, 10, FALSE), 1)</f>
        <v>1.2969982012227948E-2</v>
      </c>
      <c r="AB6" s="7">
        <f>$B6 * IFERROR(VLOOKUP("electricity|PM25|Asthma symptoms cough", US_national_yearly!$D:$AM, 36, FALSE) / VLOOKUP("electricity|PM25|Asthma symptoms cough", US_national_yearly!$D:$AM, 10, FALSE), 1)</f>
        <v>1.2969982012227948E-2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1.7465886089557851E-2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1.7465886089557851E-2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1.7465886089557851E-2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1.7465886089557851E-2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1.7465886089557851E-2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1.7465886089557851E-2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1.7465886089557851E-2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1.7465886089557851E-2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1.7465886089557851E-2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1.7465886089557851E-2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1.7465886089557851E-2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1.7465886089557851E-2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1.7465886089557851E-2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1.7465886089557851E-2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1.7465886089557851E-2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1.7465886089557851E-2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1.7465886089557851E-2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1.7465886089557851E-2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1.7465886089557851E-2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1.7465886089557851E-2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1.7465886089557851E-2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1.7465886089557851E-2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1.7465886089557851E-2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1.7465886089557851E-2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1.7465886089557851E-2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1.7465886089557851E-2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1.7465886089557851E-2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2.6685187453751438E-2</v>
      </c>
      <c r="C8" s="7">
        <f>$B8 * IFERROR(VLOOKUP("electricity|PM25|Asthma symptoms wheeze", US_national_yearly!$D:$AM, 11, FALSE) / VLOOKUP("electricity|PM25|Asthma symptoms wheeze", US_national_yearly!$D:$AM, 10, FALSE), 1)</f>
        <v>2.6685187453751438E-2</v>
      </c>
      <c r="D8" s="7">
        <f>$B8 * IFERROR(VLOOKUP("electricity|PM25|Asthma symptoms wheeze", US_national_yearly!$D:$AM, 12, FALSE) / VLOOKUP("electricity|PM25|Asthma symptoms wheeze", US_national_yearly!$D:$AM, 10, FALSE), 1)</f>
        <v>2.6685187453751438E-2</v>
      </c>
      <c r="E8" s="7">
        <f>$B8 * IFERROR(VLOOKUP("electricity|PM25|Asthma symptoms wheeze", US_national_yearly!$D:$AM, 13, FALSE) / VLOOKUP("electricity|PM25|Asthma symptoms wheeze", US_national_yearly!$D:$AM, 10, FALSE), 1)</f>
        <v>2.6685187453751438E-2</v>
      </c>
      <c r="F8" s="7">
        <f>$B8 * IFERROR(VLOOKUP("electricity|PM25|Asthma symptoms wheeze", US_national_yearly!$D:$AM, 14, FALSE) / VLOOKUP("electricity|PM25|Asthma symptoms wheeze", US_national_yearly!$D:$AM, 10, FALSE), 1)</f>
        <v>2.6685187453751438E-2</v>
      </c>
      <c r="G8" s="7">
        <f>$B8 * IFERROR(VLOOKUP("electricity|PM25|Asthma symptoms wheeze", US_national_yearly!$D:$AM, 15, FALSE) / VLOOKUP("electricity|PM25|Asthma symptoms wheeze", US_national_yearly!$D:$AM, 10, FALSE), 1)</f>
        <v>2.6685187453751438E-2</v>
      </c>
      <c r="H8" s="7">
        <f>$B8 * IFERROR(VLOOKUP("electricity|PM25|Asthma symptoms wheeze", US_national_yearly!$D:$AM, 16, FALSE) / VLOOKUP("electricity|PM25|Asthma symptoms wheeze", US_national_yearly!$D:$AM, 10, FALSE), 1)</f>
        <v>2.6685187453751438E-2</v>
      </c>
      <c r="I8" s="7">
        <f>$B8 * IFERROR(VLOOKUP("electricity|PM25|Asthma symptoms wheeze", US_national_yearly!$D:$AM, 17, FALSE) / VLOOKUP("electricity|PM25|Asthma symptoms wheeze", US_national_yearly!$D:$AM, 10, FALSE), 1)</f>
        <v>2.6685187453751438E-2</v>
      </c>
      <c r="J8" s="7">
        <f>$B8 * IFERROR(VLOOKUP("electricity|PM25|Asthma symptoms wheeze", US_national_yearly!$D:$AM, 18, FALSE) / VLOOKUP("electricity|PM25|Asthma symptoms wheeze", US_national_yearly!$D:$AM, 10, FALSE), 1)</f>
        <v>2.6685187453751438E-2</v>
      </c>
      <c r="K8" s="7">
        <f>$B8 * IFERROR(VLOOKUP("electricity|PM25|Asthma symptoms wheeze", US_national_yearly!$D:$AM, 19, FALSE) / VLOOKUP("electricity|PM25|Asthma symptoms wheeze", US_national_yearly!$D:$AM, 10, FALSE), 1)</f>
        <v>2.6685187453751438E-2</v>
      </c>
      <c r="L8" s="7">
        <f>$B8 * IFERROR(VLOOKUP("electricity|PM25|Asthma symptoms wheeze", US_national_yearly!$D:$AM, 20, FALSE) / VLOOKUP("electricity|PM25|Asthma symptoms wheeze", US_national_yearly!$D:$AM, 10, FALSE), 1)</f>
        <v>2.6685187453751438E-2</v>
      </c>
      <c r="M8" s="7">
        <f>$B8 * IFERROR(VLOOKUP("electricity|PM25|Asthma symptoms wheeze", US_national_yearly!$D:$AM, 21, FALSE) / VLOOKUP("electricity|PM25|Asthma symptoms wheeze", US_national_yearly!$D:$AM, 10, FALSE), 1)</f>
        <v>2.6685187453751438E-2</v>
      </c>
      <c r="N8" s="7">
        <f>$B8 * IFERROR(VLOOKUP("electricity|PM25|Asthma symptoms wheeze", US_national_yearly!$D:$AM, 22, FALSE) / VLOOKUP("electricity|PM25|Asthma symptoms wheeze", US_national_yearly!$D:$AM, 10, FALSE), 1)</f>
        <v>2.6685187453751438E-2</v>
      </c>
      <c r="O8" s="7">
        <f>$B8 * IFERROR(VLOOKUP("electricity|PM25|Asthma symptoms wheeze", US_national_yearly!$D:$AM, 23, FALSE) / VLOOKUP("electricity|PM25|Asthma symptoms wheeze", US_national_yearly!$D:$AM, 10, FALSE), 1)</f>
        <v>2.6685187453751438E-2</v>
      </c>
      <c r="P8" s="7">
        <f>$B8 * IFERROR(VLOOKUP("electricity|PM25|Asthma symptoms wheeze", US_national_yearly!$D:$AM, 24, FALSE) / VLOOKUP("electricity|PM25|Asthma symptoms wheeze", US_national_yearly!$D:$AM, 10, FALSE), 1)</f>
        <v>2.6685187453751438E-2</v>
      </c>
      <c r="Q8" s="7">
        <f>$B8 * IFERROR(VLOOKUP("electricity|PM25|Asthma symptoms wheeze", US_national_yearly!$D:$AM, 25, FALSE) / VLOOKUP("electricity|PM25|Asthma symptoms wheeze", US_national_yearly!$D:$AM, 10, FALSE), 1)</f>
        <v>2.6685187453751438E-2</v>
      </c>
      <c r="R8" s="7">
        <f>$B8 * IFERROR(VLOOKUP("electricity|PM25|Asthma symptoms wheeze", US_national_yearly!$D:$AM, 26, FALSE) / VLOOKUP("electricity|PM25|Asthma symptoms wheeze", US_national_yearly!$D:$AM, 10, FALSE), 1)</f>
        <v>2.6685187453751438E-2</v>
      </c>
      <c r="S8" s="7">
        <f>$B8 * IFERROR(VLOOKUP("electricity|PM25|Asthma symptoms wheeze", US_national_yearly!$D:$AM, 27, FALSE) / VLOOKUP("electricity|PM25|Asthma symptoms wheeze", US_national_yearly!$D:$AM, 10, FALSE), 1)</f>
        <v>2.6685187453751438E-2</v>
      </c>
      <c r="T8" s="7">
        <f>$B8 * IFERROR(VLOOKUP("electricity|PM25|Asthma symptoms wheeze", US_national_yearly!$D:$AM, 28, FALSE) / VLOOKUP("electricity|PM25|Asthma symptoms wheeze", US_national_yearly!$D:$AM, 10, FALSE), 1)</f>
        <v>2.6685187453751438E-2</v>
      </c>
      <c r="U8" s="7">
        <f>$B8 * IFERROR(VLOOKUP("electricity|PM25|Asthma symptoms wheeze", US_national_yearly!$D:$AM, 29, FALSE) / VLOOKUP("electricity|PM25|Asthma symptoms wheeze", US_national_yearly!$D:$AM, 10, FALSE), 1)</f>
        <v>2.6685187453751438E-2</v>
      </c>
      <c r="V8" s="7">
        <f>$B8 * IFERROR(VLOOKUP("electricity|PM25|Asthma symptoms wheeze", US_national_yearly!$D:$AM, 30, FALSE) / VLOOKUP("electricity|PM25|Asthma symptoms wheeze", US_national_yearly!$D:$AM, 10, FALSE), 1)</f>
        <v>2.6685187453751438E-2</v>
      </c>
      <c r="W8" s="7">
        <f>$B8 * IFERROR(VLOOKUP("electricity|PM25|Asthma symptoms wheeze", US_national_yearly!$D:$AM, 31, FALSE) / VLOOKUP("electricity|PM25|Asthma symptoms wheeze", US_national_yearly!$D:$AM, 10, FALSE), 1)</f>
        <v>2.6685187453751438E-2</v>
      </c>
      <c r="X8" s="7">
        <f>$B8 * IFERROR(VLOOKUP("electricity|PM25|Asthma symptoms wheeze", US_national_yearly!$D:$AM, 32, FALSE) / VLOOKUP("electricity|PM25|Asthma symptoms wheeze", US_national_yearly!$D:$AM, 10, FALSE), 1)</f>
        <v>2.6685187453751438E-2</v>
      </c>
      <c r="Y8" s="7">
        <f>$B8 * IFERROR(VLOOKUP("electricity|PM25|Asthma symptoms wheeze", US_national_yearly!$D:$AM, 33, FALSE) / VLOOKUP("electricity|PM25|Asthma symptoms wheeze", US_national_yearly!$D:$AM, 10, FALSE), 1)</f>
        <v>2.6685187453751438E-2</v>
      </c>
      <c r="Z8" s="7">
        <f>$B8 * IFERROR(VLOOKUP("electricity|PM25|Asthma symptoms wheeze", US_national_yearly!$D:$AM, 34, FALSE) / VLOOKUP("electricity|PM25|Asthma symptoms wheeze", US_national_yearly!$D:$AM, 10, FALSE), 1)</f>
        <v>2.6685187453751438E-2</v>
      </c>
      <c r="AA8" s="7">
        <f>$B8 * IFERROR(VLOOKUP("electricity|PM25|Asthma symptoms wheeze", US_national_yearly!$D:$AM, 35, FALSE) / VLOOKUP("electricity|PM25|Asthma symptoms wheeze", US_national_yearly!$D:$AM, 10, FALSE), 1)</f>
        <v>2.6685187453751438E-2</v>
      </c>
      <c r="AB8" s="7">
        <f>$B8 * IFERROR(VLOOKUP("electricity|PM25|Asthma symptoms wheeze", US_national_yearly!$D:$AM, 36, FALSE) / VLOOKUP("electricity|PM25|Asthma symptoms wheeze", US_national_yearly!$D:$AM, 10, FALSE), 1)</f>
        <v>2.6685187453751438E-2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4.474203020757646E-4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4.4987926958633333E-4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4.5233823709690194E-4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4.5479720460747073E-4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4.5725617211803935E-4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4.5989212484617668E-4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4.6252807757431402E-4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4.6488303205081879E-4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4.6723798652732344E-4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4.6959294100382809E-4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4.7194789548033275E-4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4.7430284995683751E-4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4.7589135037409518E-4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4.774798507913529E-4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4.7906835120861062E-4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4.8065685162586828E-4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4.8224535204312606E-4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4.8372561227729653E-4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4.8520587251146683E-4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4.8668613274563725E-4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4.8816639297980761E-4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4.8964665321397796E-4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4.9111034869147349E-4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4.9257404416896901E-4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4.9403773964646453E-4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4.9550143512395995E-4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4.9696513060145558E-4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2.0274609607908553E-3</v>
      </c>
      <c r="C13" s="7">
        <f>$B13 * IFERROR(VLOOKUP("electricity|PM25|Non-fatal heart attacks", US_national_yearly!$D:$AM, 11, FALSE) / VLOOKUP("electricity|PM25|Non-fatal heart attacks", US_national_yearly!$D:$AM, 10, FALSE), 1)</f>
        <v>2.0861860062721042E-3</v>
      </c>
      <c r="D13" s="7">
        <f>$B13 * IFERROR(VLOOKUP("electricity|PM25|Non-fatal heart attacks", US_national_yearly!$D:$AM, 12, FALSE) / VLOOKUP("electricity|PM25|Non-fatal heart attacks", US_national_yearly!$D:$AM, 10, FALSE), 1)</f>
        <v>2.1449110517533536E-3</v>
      </c>
      <c r="E13" s="7">
        <f>$B13 * IFERROR(VLOOKUP("electricity|PM25|Non-fatal heart attacks", US_national_yearly!$D:$AM, 13, FALSE) / VLOOKUP("electricity|PM25|Non-fatal heart attacks", US_national_yearly!$D:$AM, 10, FALSE), 1)</f>
        <v>2.203636097234602E-3</v>
      </c>
      <c r="F13" s="7">
        <f>$B13 * IFERROR(VLOOKUP("electricity|PM25|Non-fatal heart attacks", US_national_yearly!$D:$AM, 14, FALSE) / VLOOKUP("electricity|PM25|Non-fatal heart attacks", US_national_yearly!$D:$AM, 10, FALSE), 1)</f>
        <v>2.2623611427158509E-3</v>
      </c>
      <c r="G13" s="7">
        <f>$B13 * IFERROR(VLOOKUP("electricity|PM25|Non-fatal heart attacks", US_national_yearly!$D:$AM, 15, FALSE) / VLOOKUP("electricity|PM25|Non-fatal heart attacks", US_national_yearly!$D:$AM, 10, FALSE), 1)</f>
        <v>2.3181010177150234E-3</v>
      </c>
      <c r="H13" s="7">
        <f>$B13 * IFERROR(VLOOKUP("electricity|PM25|Non-fatal heart attacks", US_national_yearly!$D:$AM, 16, FALSE) / VLOOKUP("electricity|PM25|Non-fatal heart attacks", US_national_yearly!$D:$AM, 10, FALSE), 1)</f>
        <v>2.373840892714195E-3</v>
      </c>
      <c r="I13" s="7">
        <f>$B13 * IFERROR(VLOOKUP("electricity|PM25|Non-fatal heart attacks", US_national_yearly!$D:$AM, 17, FALSE) / VLOOKUP("electricity|PM25|Non-fatal heart attacks", US_national_yearly!$D:$AM, 10, FALSE), 1)</f>
        <v>2.4193180503096334E-3</v>
      </c>
      <c r="J13" s="7">
        <f>$B13 * IFERROR(VLOOKUP("electricity|PM25|Non-fatal heart attacks", US_national_yearly!$D:$AM, 18, FALSE) / VLOOKUP("electricity|PM25|Non-fatal heart attacks", US_national_yearly!$D:$AM, 10, FALSE), 1)</f>
        <v>2.4647952079050717E-3</v>
      </c>
      <c r="K13" s="7">
        <f>$B13 * IFERROR(VLOOKUP("electricity|PM25|Non-fatal heart attacks", US_national_yearly!$D:$AM, 19, FALSE) / VLOOKUP("electricity|PM25|Non-fatal heart attacks", US_national_yearly!$D:$AM, 10, FALSE), 1)</f>
        <v>2.5102723655005097E-3</v>
      </c>
      <c r="L13" s="7">
        <f>$B13 * IFERROR(VLOOKUP("electricity|PM25|Non-fatal heart attacks", US_national_yearly!$D:$AM, 20, FALSE) / VLOOKUP("electricity|PM25|Non-fatal heart attacks", US_national_yearly!$D:$AM, 10, FALSE), 1)</f>
        <v>2.5557495230959472E-3</v>
      </c>
      <c r="M13" s="7">
        <f>$B13 * IFERROR(VLOOKUP("electricity|PM25|Non-fatal heart attacks", US_national_yearly!$D:$AM, 21, FALSE) / VLOOKUP("electricity|PM25|Non-fatal heart attacks", US_national_yearly!$D:$AM, 10, FALSE), 1)</f>
        <v>2.601226680691386E-3</v>
      </c>
      <c r="N13" s="7">
        <f>$B13 * IFERROR(VLOOKUP("electricity|PM25|Non-fatal heart attacks", US_national_yearly!$D:$AM, 22, FALSE) / VLOOKUP("electricity|PM25|Non-fatal heart attacks", US_national_yearly!$D:$AM, 10, FALSE), 1)</f>
        <v>2.6307354851956774E-3</v>
      </c>
      <c r="O13" s="7">
        <f>$B13 * IFERROR(VLOOKUP("electricity|PM25|Non-fatal heart attacks", US_national_yearly!$D:$AM, 23, FALSE) / VLOOKUP("electricity|PM25|Non-fatal heart attacks", US_national_yearly!$D:$AM, 10, FALSE), 1)</f>
        <v>2.6602442896999689E-3</v>
      </c>
      <c r="P13" s="7">
        <f>$B13 * IFERROR(VLOOKUP("electricity|PM25|Non-fatal heart attacks", US_national_yearly!$D:$AM, 24, FALSE) / VLOOKUP("electricity|PM25|Non-fatal heart attacks", US_national_yearly!$D:$AM, 10, FALSE), 1)</f>
        <v>2.6897530942042599E-3</v>
      </c>
      <c r="Q13" s="7">
        <f>$B13 * IFERROR(VLOOKUP("electricity|PM25|Non-fatal heart attacks", US_national_yearly!$D:$AM, 25, FALSE) / VLOOKUP("electricity|PM25|Non-fatal heart attacks", US_national_yearly!$D:$AM, 10, FALSE), 1)</f>
        <v>2.7192618987085513E-3</v>
      </c>
      <c r="R13" s="7">
        <f>$B13 * IFERROR(VLOOKUP("electricity|PM25|Non-fatal heart attacks", US_national_yearly!$D:$AM, 26, FALSE) / VLOOKUP("electricity|PM25|Non-fatal heart attacks", US_national_yearly!$D:$AM, 10, FALSE), 1)</f>
        <v>2.7487707032128423E-3</v>
      </c>
      <c r="S13" s="7">
        <f>$B13 * IFERROR(VLOOKUP("electricity|PM25|Non-fatal heart attacks", US_national_yearly!$D:$AM, 27, FALSE) / VLOOKUP("electricity|PM25|Non-fatal heart attacks", US_national_yearly!$D:$AM, 10, FALSE), 1)</f>
        <v>2.7650160581795687E-3</v>
      </c>
      <c r="T13" s="7">
        <f>$B13 * IFERROR(VLOOKUP("electricity|PM25|Non-fatal heart attacks", US_national_yearly!$D:$AM, 28, FALSE) / VLOOKUP("electricity|PM25|Non-fatal heart attacks", US_national_yearly!$D:$AM, 10, FALSE), 1)</f>
        <v>2.7812614131462955E-3</v>
      </c>
      <c r="U13" s="7">
        <f>$B13 * IFERROR(VLOOKUP("electricity|PM25|Non-fatal heart attacks", US_national_yearly!$D:$AM, 29, FALSE) / VLOOKUP("electricity|PM25|Non-fatal heart attacks", US_national_yearly!$D:$AM, 10, FALSE), 1)</f>
        <v>2.7975067681130219E-3</v>
      </c>
      <c r="V13" s="7">
        <f>$B13 * IFERROR(VLOOKUP("electricity|PM25|Non-fatal heart attacks", US_national_yearly!$D:$AM, 30, FALSE) / VLOOKUP("electricity|PM25|Non-fatal heart attacks", US_national_yearly!$D:$AM, 10, FALSE), 1)</f>
        <v>2.8137521230797483E-3</v>
      </c>
      <c r="W13" s="7">
        <f>$B13 * IFERROR(VLOOKUP("electricity|PM25|Non-fatal heart attacks", US_national_yearly!$D:$AM, 31, FALSE) / VLOOKUP("electricity|PM25|Non-fatal heart attacks", US_national_yearly!$D:$AM, 10, FALSE), 1)</f>
        <v>2.8299974780464751E-3</v>
      </c>
      <c r="X13" s="7">
        <f>$B13 * IFERROR(VLOOKUP("electricity|PM25|Non-fatal heart attacks", US_national_yearly!$D:$AM, 32, FALSE) / VLOOKUP("electricity|PM25|Non-fatal heart attacks", US_national_yearly!$D:$AM, 10, FALSE), 1)</f>
        <v>2.842706475679236E-3</v>
      </c>
      <c r="Y13" s="7">
        <f>$B13 * IFERROR(VLOOKUP("electricity|PM25|Non-fatal heart attacks", US_national_yearly!$D:$AM, 33, FALSE) / VLOOKUP("electricity|PM25|Non-fatal heart attacks", US_national_yearly!$D:$AM, 10, FALSE), 1)</f>
        <v>2.8554154733119973E-3</v>
      </c>
      <c r="Z13" s="7">
        <f>$B13 * IFERROR(VLOOKUP("electricity|PM25|Non-fatal heart attacks", US_national_yearly!$D:$AM, 34, FALSE) / VLOOKUP("electricity|PM25|Non-fatal heart attacks", US_national_yearly!$D:$AM, 10, FALSE), 1)</f>
        <v>2.8681244709447581E-3</v>
      </c>
      <c r="AA13" s="7">
        <f>$B13 * IFERROR(VLOOKUP("electricity|PM25|Non-fatal heart attacks", US_national_yearly!$D:$AM, 35, FALSE) / VLOOKUP("electricity|PM25|Non-fatal heart attacks", US_national_yearly!$D:$AM, 10, FALSE), 1)</f>
        <v>2.8808334685775203E-3</v>
      </c>
      <c r="AB13" s="7">
        <f>$B13 * IFERROR(VLOOKUP("electricity|PM25|Non-fatal heart attacks", US_national_yearly!$D:$AM, 36, FALSE) / VLOOKUP("electricity|PM25|Non-fatal heart attacks", US_national_yearly!$D:$AM, 10, FALSE), 1)</f>
        <v>2.8935424662102811E-3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1.4679129461753133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1.4711716142462326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1.4744302823171522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1.4776889503880717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1.4809476184589911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1.4857831042818335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1.4906185901046756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1.4991567413507689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1.5076948925968625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1.5162330438429559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1.5247711950890495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1.5333093463351426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1.5451542245497858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1.556999102764429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1.5688439809790724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1.5806888591937158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1.5925337374083588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1.6044807837036688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1.6164278299989785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1.628374876294288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1.640321922589598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1.6522689688849077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1.6625100812671629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1.6727511936494186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1.682992306031674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1.693233418413929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1.7034745307961849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0.2482239485857004</v>
      </c>
      <c r="C15" s="7">
        <f>$B15 * IFERROR(VLOOKUP("electricity|PM25|Work loss days", US_national_yearly!$D:$AM, 11, FALSE) / VLOOKUP("electricity|PM25|Work loss days", US_national_yearly!$D:$AM, 10, FALSE), 1)</f>
        <v>0.24893425576313358</v>
      </c>
      <c r="D15" s="7">
        <f>$B15 * IFERROR(VLOOKUP("electricity|PM25|Work loss days", US_national_yearly!$D:$AM, 12, FALSE) / VLOOKUP("electricity|PM25|Work loss days", US_national_yearly!$D:$AM, 10, FALSE), 1)</f>
        <v>0.24964456294056681</v>
      </c>
      <c r="E15" s="7">
        <f>$B15 * IFERROR(VLOOKUP("electricity|PM25|Work loss days", US_national_yearly!$D:$AM, 13, FALSE) / VLOOKUP("electricity|PM25|Work loss days", US_national_yearly!$D:$AM, 10, FALSE), 1)</f>
        <v>0.25035487011800001</v>
      </c>
      <c r="F15" s="7">
        <f>$B15 * IFERROR(VLOOKUP("electricity|PM25|Work loss days", US_national_yearly!$D:$AM, 14, FALSE) / VLOOKUP("electricity|PM25|Work loss days", US_national_yearly!$D:$AM, 10, FALSE), 1)</f>
        <v>0.25106517729543315</v>
      </c>
      <c r="G15" s="7">
        <f>$B15 * IFERROR(VLOOKUP("electricity|PM25|Work loss days", US_national_yearly!$D:$AM, 15, FALSE) / VLOOKUP("electricity|PM25|Work loss days", US_national_yearly!$D:$AM, 10, FALSE), 1)</f>
        <v>0.25198534378028825</v>
      </c>
      <c r="H15" s="7">
        <f>$B15 * IFERROR(VLOOKUP("electricity|PM25|Work loss days", US_national_yearly!$D:$AM, 16, FALSE) / VLOOKUP("electricity|PM25|Work loss days", US_national_yearly!$D:$AM, 10, FALSE), 1)</f>
        <v>0.25290551026514346</v>
      </c>
      <c r="I15" s="7">
        <f>$B15 * IFERROR(VLOOKUP("electricity|PM25|Work loss days", US_national_yearly!$D:$AM, 17, FALSE) / VLOOKUP("electricity|PM25|Work loss days", US_national_yearly!$D:$AM, 10, FALSE), 1)</f>
        <v>0.25428882344830123</v>
      </c>
      <c r="J15" s="7">
        <f>$B15 * IFERROR(VLOOKUP("electricity|PM25|Work loss days", US_national_yearly!$D:$AM, 18, FALSE) / VLOOKUP("electricity|PM25|Work loss days", US_national_yearly!$D:$AM, 10, FALSE), 1)</f>
        <v>0.25567213663145899</v>
      </c>
      <c r="K15" s="7">
        <f>$B15 * IFERROR(VLOOKUP("electricity|PM25|Work loss days", US_national_yearly!$D:$AM, 19, FALSE) / VLOOKUP("electricity|PM25|Work loss days", US_national_yearly!$D:$AM, 10, FALSE), 1)</f>
        <v>0.25705544981461681</v>
      </c>
      <c r="L15" s="7">
        <f>$B15 * IFERROR(VLOOKUP("electricity|PM25|Work loss days", US_national_yearly!$D:$AM, 20, FALSE) / VLOOKUP("electricity|PM25|Work loss days", US_national_yearly!$D:$AM, 10, FALSE), 1)</f>
        <v>0.25843876299777463</v>
      </c>
      <c r="M15" s="7">
        <f>$B15 * IFERROR(VLOOKUP("electricity|PM25|Work loss days", US_national_yearly!$D:$AM, 21, FALSE) / VLOOKUP("electricity|PM25|Work loss days", US_national_yearly!$D:$AM, 10, FALSE), 1)</f>
        <v>0.25982207618093245</v>
      </c>
      <c r="N15" s="7">
        <f>$B15 * IFERROR(VLOOKUP("electricity|PM25|Work loss days", US_national_yearly!$D:$AM, 22, FALSE) / VLOOKUP("electricity|PM25|Work loss days", US_national_yearly!$D:$AM, 10, FALSE), 1)</f>
        <v>0.26160802953341511</v>
      </c>
      <c r="O15" s="7">
        <f>$B15 * IFERROR(VLOOKUP("electricity|PM25|Work loss days", US_national_yearly!$D:$AM, 23, FALSE) / VLOOKUP("electricity|PM25|Work loss days", US_national_yearly!$D:$AM, 10, FALSE), 1)</f>
        <v>0.26339398288589777</v>
      </c>
      <c r="P15" s="7">
        <f>$B15 * IFERROR(VLOOKUP("electricity|PM25|Work loss days", US_national_yearly!$D:$AM, 24, FALSE) / VLOOKUP("electricity|PM25|Work loss days", US_national_yearly!$D:$AM, 10, FALSE), 1)</f>
        <v>0.26517993623838038</v>
      </c>
      <c r="Q15" s="7">
        <f>$B15 * IFERROR(VLOOKUP("electricity|PM25|Work loss days", US_national_yearly!$D:$AM, 25, FALSE) / VLOOKUP("electricity|PM25|Work loss days", US_national_yearly!$D:$AM, 10, FALSE), 1)</f>
        <v>0.26696588959086298</v>
      </c>
      <c r="R15" s="7">
        <f>$B15 * IFERROR(VLOOKUP("electricity|PM25|Work loss days", US_national_yearly!$D:$AM, 26, FALSE) / VLOOKUP("electricity|PM25|Work loss days", US_national_yearly!$D:$AM, 10, FALSE), 1)</f>
        <v>0.26875184294334564</v>
      </c>
      <c r="S15" s="7">
        <f>$B15 * IFERROR(VLOOKUP("electricity|PM25|Work loss days", US_national_yearly!$D:$AM, 27, FALSE) / VLOOKUP("electricity|PM25|Work loss days", US_national_yearly!$D:$AM, 10, FALSE), 1)</f>
        <v>0.27073362051760452</v>
      </c>
      <c r="T15" s="7">
        <f>$B15 * IFERROR(VLOOKUP("electricity|PM25|Work loss days", US_national_yearly!$D:$AM, 28, FALSE) / VLOOKUP("electricity|PM25|Work loss days", US_national_yearly!$D:$AM, 10, FALSE), 1)</f>
        <v>0.27271539809186351</v>
      </c>
      <c r="U15" s="7">
        <f>$B15 * IFERROR(VLOOKUP("electricity|PM25|Work loss days", US_national_yearly!$D:$AM, 29, FALSE) / VLOOKUP("electricity|PM25|Work loss days", US_national_yearly!$D:$AM, 10, FALSE), 1)</f>
        <v>0.27469717566612251</v>
      </c>
      <c r="V15" s="7">
        <f>$B15 * IFERROR(VLOOKUP("electricity|PM25|Work loss days", US_national_yearly!$D:$AM, 30, FALSE) / VLOOKUP("electricity|PM25|Work loss days", US_national_yearly!$D:$AM, 10, FALSE), 1)</f>
        <v>0.2766789532403815</v>
      </c>
      <c r="W15" s="7">
        <f>$B15 * IFERROR(VLOOKUP("electricity|PM25|Work loss days", US_national_yearly!$D:$AM, 31, FALSE) / VLOOKUP("electricity|PM25|Work loss days", US_national_yearly!$D:$AM, 10, FALSE), 1)</f>
        <v>0.27866073081464043</v>
      </c>
      <c r="X15" s="7">
        <f>$B15 * IFERROR(VLOOKUP("electricity|PM25|Work loss days", US_national_yearly!$D:$AM, 32, FALSE) / VLOOKUP("electricity|PM25|Work loss days", US_national_yearly!$D:$AM, 10, FALSE), 1)</f>
        <v>0.280408983816059</v>
      </c>
      <c r="Y15" s="7">
        <f>$B15 * IFERROR(VLOOKUP("electricity|PM25|Work loss days", US_national_yearly!$D:$AM, 33, FALSE) / VLOOKUP("electricity|PM25|Work loss days", US_national_yearly!$D:$AM, 10, FALSE), 1)</f>
        <v>0.28215723681747751</v>
      </c>
      <c r="Z15" s="7">
        <f>$B15 * IFERROR(VLOOKUP("electricity|PM25|Work loss days", US_national_yearly!$D:$AM, 34, FALSE) / VLOOKUP("electricity|PM25|Work loss days", US_national_yearly!$D:$AM, 10, FALSE), 1)</f>
        <v>0.28390548981889602</v>
      </c>
      <c r="AA15" s="7">
        <f>$B15 * IFERROR(VLOOKUP("electricity|PM25|Work loss days", US_national_yearly!$D:$AM, 35, FALSE) / VLOOKUP("electricity|PM25|Work loss days", US_national_yearly!$D:$AM, 10, FALSE), 1)</f>
        <v>0.28565374282031464</v>
      </c>
      <c r="AB15" s="7">
        <f>$B15 * IFERROR(VLOOKUP("electricity|PM25|Work loss days", US_national_yearly!$D:$AM, 36, FALSE) / VLOOKUP("electricity|PM25|Work loss days", US_national_yearly!$D:$AM, 10, FALSE), 1)</f>
        <v>0.28740199582173315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4.0591509740975742E-4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4.1796059105447982E-4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4.3000608469920222E-4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4.4205157834392467E-4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4.5409707198864707E-4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4.6571493192169725E-4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4.7733279185474743E-4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4.8739710546899122E-4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4.9746141908323506E-4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5.0752573269747874E-4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5.1759004631172253E-4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5.2765435992596622E-4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5.3441982221850688E-4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5.4118528451104733E-4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5.4795074680358778E-4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5.5471620909612834E-4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5.614816713886689E-4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5.6521553905857804E-4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5.6894940672848706E-4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5.726832743983963E-4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5.7641714206830544E-4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5.8015100973821457E-4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5.8275595803389084E-4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5.8536090632956711E-4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5.8796585462524338E-4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5.9057080292091986E-4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5.9317575121659613E-4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1.1759002359477542E-4</v>
      </c>
      <c r="C2" s="7">
        <f>$B2 * IFERROR(VLOOKUP("electricity|NOx|Premature mortality", US_national_yearly!$D:$AM, 11, FALSE) / VLOOKUP("electricity|NOx|Premature mortality", US_national_yearly!$D:$AM, 10, FALSE), 1)</f>
        <v>1.1936923516944444E-4</v>
      </c>
      <c r="D2" s="7">
        <f>$B2 * IFERROR(VLOOKUP("electricity|NOx|Premature mortality", US_national_yearly!$D:$AM, 12, FALSE) / VLOOKUP("electricity|NOx|Premature mortality", US_national_yearly!$D:$AM, 10, FALSE), 1)</f>
        <v>1.2114844674411349E-4</v>
      </c>
      <c r="E2" s="7">
        <f>$B2 * IFERROR(VLOOKUP("electricity|NOx|Premature mortality", US_national_yearly!$D:$AM, 13, FALSE) / VLOOKUP("electricity|NOx|Premature mortality", US_national_yearly!$D:$AM, 10, FALSE), 1)</f>
        <v>1.2292765831878251E-4</v>
      </c>
      <c r="F2" s="7">
        <f>$B2 * IFERROR(VLOOKUP("electricity|NOx|Premature mortality", US_national_yearly!$D:$AM, 14, FALSE) / VLOOKUP("electricity|NOx|Premature mortality", US_national_yearly!$D:$AM, 10, FALSE), 1)</f>
        <v>1.2470686989345155E-4</v>
      </c>
      <c r="G2" s="7">
        <f>$B2 * IFERROR(VLOOKUP("electricity|NOx|Premature mortality", US_national_yearly!$D:$AM, 15, FALSE) / VLOOKUP("electricity|NOx|Premature mortality", US_national_yearly!$D:$AM, 10, FALSE), 1)</f>
        <v>1.2788519703419679E-4</v>
      </c>
      <c r="H2" s="7">
        <f>$B2 * IFERROR(VLOOKUP("electricity|NOx|Premature mortality", US_national_yearly!$D:$AM, 16, FALSE) / VLOOKUP("electricity|NOx|Premature mortality", US_national_yearly!$D:$AM, 10, FALSE), 1)</f>
        <v>1.3106352417494201E-4</v>
      </c>
      <c r="I2" s="7">
        <f>$B2 * IFERROR(VLOOKUP("electricity|NOx|Premature mortality", US_national_yearly!$D:$AM, 17, FALSE) / VLOOKUP("electricity|NOx|Premature mortality", US_national_yearly!$D:$AM, 10, FALSE), 1)</f>
        <v>1.3317565310912654E-4</v>
      </c>
      <c r="J2" s="7">
        <f>$B2 * IFERROR(VLOOKUP("electricity|NOx|Premature mortality", US_national_yearly!$D:$AM, 18, FALSE) / VLOOKUP("electricity|NOx|Premature mortality", US_national_yearly!$D:$AM, 10, FALSE), 1)</f>
        <v>1.3528778204331113E-4</v>
      </c>
      <c r="K2" s="7">
        <f>$B2 * IFERROR(VLOOKUP("electricity|NOx|Premature mortality", US_national_yearly!$D:$AM, 19, FALSE) / VLOOKUP("electricity|NOx|Premature mortality", US_national_yearly!$D:$AM, 10, FALSE), 1)</f>
        <v>1.3739991097749566E-4</v>
      </c>
      <c r="L2" s="7">
        <f>$B2 * IFERROR(VLOOKUP("electricity|NOx|Premature mortality", US_national_yearly!$D:$AM, 20, FALSE) / VLOOKUP("electricity|NOx|Premature mortality", US_national_yearly!$D:$AM, 10, FALSE), 1)</f>
        <v>1.3951203991168019E-4</v>
      </c>
      <c r="M2" s="7">
        <f>$B2 * IFERROR(VLOOKUP("electricity|NOx|Premature mortality", US_national_yearly!$D:$AM, 21, FALSE) / VLOOKUP("electricity|NOx|Premature mortality", US_national_yearly!$D:$AM, 10, FALSE), 1)</f>
        <v>1.4162416884586475E-4</v>
      </c>
      <c r="N2" s="7">
        <f>$B2 * IFERROR(VLOOKUP("electricity|NOx|Premature mortality", US_national_yearly!$D:$AM, 22, FALSE) / VLOOKUP("electricity|NOx|Premature mortality", US_national_yearly!$D:$AM, 10, FALSE), 1)</f>
        <v>1.4325392049101266E-4</v>
      </c>
      <c r="O2" s="7">
        <f>$B2 * IFERROR(VLOOKUP("electricity|NOx|Premature mortality", US_national_yearly!$D:$AM, 23, FALSE) / VLOOKUP("electricity|NOx|Premature mortality", US_national_yearly!$D:$AM, 10, FALSE), 1)</f>
        <v>1.4488367213616061E-4</v>
      </c>
      <c r="P2" s="7">
        <f>$B2 * IFERROR(VLOOKUP("electricity|NOx|Premature mortality", US_national_yearly!$D:$AM, 24, FALSE) / VLOOKUP("electricity|NOx|Premature mortality", US_national_yearly!$D:$AM, 10, FALSE), 1)</f>
        <v>1.4651342378130855E-4</v>
      </c>
      <c r="Q2" s="7">
        <f>$B2 * IFERROR(VLOOKUP("electricity|NOx|Premature mortality", US_national_yearly!$D:$AM, 25, FALSE) / VLOOKUP("electricity|NOx|Premature mortality", US_national_yearly!$D:$AM, 10, FALSE), 1)</f>
        <v>1.4814317542645648E-4</v>
      </c>
      <c r="R2" s="7">
        <f>$B2 * IFERROR(VLOOKUP("electricity|NOx|Premature mortality", US_national_yearly!$D:$AM, 26, FALSE) / VLOOKUP("electricity|NOx|Premature mortality", US_national_yearly!$D:$AM, 10, FALSE), 1)</f>
        <v>1.4977292707160441E-4</v>
      </c>
      <c r="S2" s="7">
        <f>$B2 * IFERROR(VLOOKUP("electricity|NOx|Premature mortality", US_national_yearly!$D:$AM, 27, FALSE) / VLOOKUP("electricity|NOx|Premature mortality", US_national_yearly!$D:$AM, 10, FALSE), 1)</f>
        <v>1.5061508798550326E-4</v>
      </c>
      <c r="T2" s="7">
        <f>$B2 * IFERROR(VLOOKUP("electricity|NOx|Premature mortality", US_national_yearly!$D:$AM, 28, FALSE) / VLOOKUP("electricity|NOx|Premature mortality", US_national_yearly!$D:$AM, 10, FALSE), 1)</f>
        <v>1.5145724889940212E-4</v>
      </c>
      <c r="U2" s="7">
        <f>$B2 * IFERROR(VLOOKUP("electricity|NOx|Premature mortality", US_national_yearly!$D:$AM, 29, FALSE) / VLOOKUP("electricity|NOx|Premature mortality", US_national_yearly!$D:$AM, 10, FALSE), 1)</f>
        <v>1.5229940981330105E-4</v>
      </c>
      <c r="V2" s="7">
        <f>$B2 * IFERROR(VLOOKUP("electricity|NOx|Premature mortality", US_national_yearly!$D:$AM, 30, FALSE) / VLOOKUP("electricity|NOx|Premature mortality", US_national_yearly!$D:$AM, 10, FALSE), 1)</f>
        <v>1.5314157072719991E-4</v>
      </c>
      <c r="W2" s="7">
        <f>$B2 * IFERROR(VLOOKUP("electricity|NOx|Premature mortality", US_national_yearly!$D:$AM, 31, FALSE) / VLOOKUP("electricity|NOx|Premature mortality", US_national_yearly!$D:$AM, 10, FALSE), 1)</f>
        <v>1.5398373164109876E-4</v>
      </c>
      <c r="X2" s="7">
        <f>$B2 * IFERROR(VLOOKUP("electricity|NOx|Premature mortality", US_national_yearly!$D:$AM, 32, FALSE) / VLOOKUP("electricity|NOx|Premature mortality", US_national_yearly!$D:$AM, 10, FALSE), 1)</f>
        <v>1.5417425460261075E-4</v>
      </c>
      <c r="Y2" s="7">
        <f>$B2 * IFERROR(VLOOKUP("electricity|NOx|Premature mortality", US_national_yearly!$D:$AM, 33, FALSE) / VLOOKUP("electricity|NOx|Premature mortality", US_national_yearly!$D:$AM, 10, FALSE), 1)</f>
        <v>1.5436477756412272E-4</v>
      </c>
      <c r="Z2" s="7">
        <f>$B2 * IFERROR(VLOOKUP("electricity|NOx|Premature mortality", US_national_yearly!$D:$AM, 34, FALSE) / VLOOKUP("electricity|NOx|Premature mortality", US_national_yearly!$D:$AM, 10, FALSE), 1)</f>
        <v>1.5455530052563469E-4</v>
      </c>
      <c r="AA2" s="7">
        <f>$B2 * IFERROR(VLOOKUP("electricity|NOx|Premature mortality", US_national_yearly!$D:$AM, 35, FALSE) / VLOOKUP("electricity|NOx|Premature mortality", US_national_yearly!$D:$AM, 10, FALSE), 1)</f>
        <v>1.5474582348714663E-4</v>
      </c>
      <c r="AB2" s="7">
        <f>$B2 * IFERROR(VLOOKUP("electricity|NOx|Premature mortality", US_national_yearly!$D:$AM, 36, FALSE) / VLOOKUP("electricity|NOx|Premature mortality", US_national_yearly!$D:$AM, 10, FALSE), 1)</f>
        <v>1.549363464486586E-4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2.1716800628921752E-7</v>
      </c>
      <c r="C3" s="7">
        <f>$B3 * IFERROR(VLOOKUP("electricity|NOx|Infant mortality", US_national_yearly!$D:$AM, 11, FALSE) / VLOOKUP("electricity|NOx|Infant mortality", US_national_yearly!$D:$AM, 10, FALSE), 1)</f>
        <v>2.1513627551111481E-7</v>
      </c>
      <c r="D3" s="7">
        <f>$B3 * IFERROR(VLOOKUP("electricity|NOx|Infant mortality", US_national_yearly!$D:$AM, 12, FALSE) / VLOOKUP("electricity|NOx|Infant mortality", US_national_yearly!$D:$AM, 10, FALSE), 1)</f>
        <v>2.1310454473301203E-7</v>
      </c>
      <c r="E3" s="7">
        <f>$B3 * IFERROR(VLOOKUP("electricity|NOx|Infant mortality", US_national_yearly!$D:$AM, 13, FALSE) / VLOOKUP("electricity|NOx|Infant mortality", US_national_yearly!$D:$AM, 10, FALSE), 1)</f>
        <v>2.1107281395490933E-7</v>
      </c>
      <c r="F3" s="7">
        <f>$B3 * IFERROR(VLOOKUP("electricity|NOx|Infant mortality", US_national_yearly!$D:$AM, 14, FALSE) / VLOOKUP("electricity|NOx|Infant mortality", US_national_yearly!$D:$AM, 10, FALSE), 1)</f>
        <v>2.0904108317680657E-7</v>
      </c>
      <c r="G3" s="7">
        <f>$B3 * IFERROR(VLOOKUP("electricity|NOx|Infant mortality", US_national_yearly!$D:$AM, 15, FALSE) / VLOOKUP("electricity|NOx|Infant mortality", US_national_yearly!$D:$AM, 10, FALSE), 1)</f>
        <v>1.3850007425550125E-7</v>
      </c>
      <c r="H3" s="7">
        <f>$B3 * IFERROR(VLOOKUP("electricity|NOx|Infant mortality", US_national_yearly!$D:$AM, 16, FALSE) / VLOOKUP("electricity|NOx|Infant mortality", US_national_yearly!$D:$AM, 10, FALSE), 1)</f>
        <v>6.7959065334195967E-8</v>
      </c>
      <c r="I3" s="7">
        <f>$B3 * IFERROR(VLOOKUP("electricity|NOx|Infant mortality", US_national_yearly!$D:$AM, 17, FALSE) / VLOOKUP("electricity|NOx|Infant mortality", US_national_yearly!$D:$AM, 10, FALSE), 1)</f>
        <v>6.7464829874297923E-8</v>
      </c>
      <c r="J3" s="7">
        <f>$B3 * IFERROR(VLOOKUP("electricity|NOx|Infant mortality", US_national_yearly!$D:$AM, 18, FALSE) / VLOOKUP("electricity|NOx|Infant mortality", US_national_yearly!$D:$AM, 10, FALSE), 1)</f>
        <v>6.6970594414399866E-8</v>
      </c>
      <c r="K3" s="7">
        <f>$B3 * IFERROR(VLOOKUP("electricity|NOx|Infant mortality", US_national_yearly!$D:$AM, 19, FALSE) / VLOOKUP("electricity|NOx|Infant mortality", US_national_yearly!$D:$AM, 10, FALSE), 1)</f>
        <v>6.6476358954501822E-8</v>
      </c>
      <c r="L3" s="7">
        <f>$B3 * IFERROR(VLOOKUP("electricity|NOx|Infant mortality", US_national_yearly!$D:$AM, 20, FALSE) / VLOOKUP("electricity|NOx|Infant mortality", US_national_yearly!$D:$AM, 10, FALSE), 1)</f>
        <v>6.5982123494603764E-8</v>
      </c>
      <c r="M3" s="7">
        <f>$B3 * IFERROR(VLOOKUP("electricity|NOx|Infant mortality", US_national_yearly!$D:$AM, 21, FALSE) / VLOOKUP("electricity|NOx|Infant mortality", US_national_yearly!$D:$AM, 10, FALSE), 1)</f>
        <v>6.5487888034705707E-8</v>
      </c>
      <c r="N3" s="7">
        <f>$B3 * IFERROR(VLOOKUP("electricity|NOx|Infant mortality", US_national_yearly!$D:$AM, 22, FALSE) / VLOOKUP("electricity|NOx|Infant mortality", US_national_yearly!$D:$AM, 10, FALSE), 1)</f>
        <v>6.5156005373088443E-8</v>
      </c>
      <c r="O3" s="7">
        <f>$B3 * IFERROR(VLOOKUP("electricity|NOx|Infant mortality", US_national_yearly!$D:$AM, 23, FALSE) / VLOOKUP("electricity|NOx|Infant mortality", US_national_yearly!$D:$AM, 10, FALSE), 1)</f>
        <v>6.4824122711471152E-8</v>
      </c>
      <c r="P3" s="7">
        <f>$B3 * IFERROR(VLOOKUP("electricity|NOx|Infant mortality", US_national_yearly!$D:$AM, 24, FALSE) / VLOOKUP("electricity|NOx|Infant mortality", US_national_yearly!$D:$AM, 10, FALSE), 1)</f>
        <v>6.4492240049853874E-8</v>
      </c>
      <c r="Q3" s="7">
        <f>$B3 * IFERROR(VLOOKUP("electricity|NOx|Infant mortality", US_national_yearly!$D:$AM, 25, FALSE) / VLOOKUP("electricity|NOx|Infant mortality", US_national_yearly!$D:$AM, 10, FALSE), 1)</f>
        <v>6.4160357388236597E-8</v>
      </c>
      <c r="R3" s="7">
        <f>$B3 * IFERROR(VLOOKUP("electricity|NOx|Infant mortality", US_national_yearly!$D:$AM, 26, FALSE) / VLOOKUP("electricity|NOx|Infant mortality", US_national_yearly!$D:$AM, 10, FALSE), 1)</f>
        <v>6.3828474726619332E-8</v>
      </c>
      <c r="S3" s="7">
        <f>$B3 * IFERROR(VLOOKUP("electricity|NOx|Infant mortality", US_national_yearly!$D:$AM, 27, FALSE) / VLOOKUP("electricity|NOx|Infant mortality", US_national_yearly!$D:$AM, 10, FALSE), 1)</f>
        <v>6.3434472211748723E-8</v>
      </c>
      <c r="T3" s="7">
        <f>$B3 * IFERROR(VLOOKUP("electricity|NOx|Infant mortality", US_national_yearly!$D:$AM, 28, FALSE) / VLOOKUP("electricity|NOx|Infant mortality", US_national_yearly!$D:$AM, 10, FALSE), 1)</f>
        <v>6.3040469696878128E-8</v>
      </c>
      <c r="U3" s="7">
        <f>$B3 * IFERROR(VLOOKUP("electricity|NOx|Infant mortality", US_national_yearly!$D:$AM, 29, FALSE) / VLOOKUP("electricity|NOx|Infant mortality", US_national_yearly!$D:$AM, 10, FALSE), 1)</f>
        <v>6.2646467182007545E-8</v>
      </c>
      <c r="V3" s="7">
        <f>$B3 * IFERROR(VLOOKUP("electricity|NOx|Infant mortality", US_national_yearly!$D:$AM, 30, FALSE) / VLOOKUP("electricity|NOx|Infant mortality", US_national_yearly!$D:$AM, 10, FALSE), 1)</f>
        <v>6.2252464667136949E-8</v>
      </c>
      <c r="W3" s="7">
        <f>$B3 * IFERROR(VLOOKUP("electricity|NOx|Infant mortality", US_national_yearly!$D:$AM, 31, FALSE) / VLOOKUP("electricity|NOx|Infant mortality", US_national_yearly!$D:$AM, 10, FALSE), 1)</f>
        <v>6.1858462152266354E-8</v>
      </c>
      <c r="X3" s="7">
        <f>$B3 * IFERROR(VLOOKUP("electricity|NOx|Infant mortality", US_national_yearly!$D:$AM, 32, FALSE) / VLOOKUP("electricity|NOx|Infant mortality", US_national_yearly!$D:$AM, 10, FALSE), 1)</f>
        <v>6.1452767860153318E-8</v>
      </c>
      <c r="Y3" s="7">
        <f>$B3 * IFERROR(VLOOKUP("electricity|NOx|Infant mortality", US_national_yearly!$D:$AM, 33, FALSE) / VLOOKUP("electricity|NOx|Infant mortality", US_national_yearly!$D:$AM, 10, FALSE), 1)</f>
        <v>6.1047073568040283E-8</v>
      </c>
      <c r="Z3" s="7">
        <f>$B3 * IFERROR(VLOOKUP("electricity|NOx|Infant mortality", US_national_yearly!$D:$AM, 34, FALSE) / VLOOKUP("electricity|NOx|Infant mortality", US_national_yearly!$D:$AM, 10, FALSE), 1)</f>
        <v>6.0641379275927248E-8</v>
      </c>
      <c r="AA3" s="7">
        <f>$B3 * IFERROR(VLOOKUP("electricity|NOx|Infant mortality", US_national_yearly!$D:$AM, 35, FALSE) / VLOOKUP("electricity|NOx|Infant mortality", US_national_yearly!$D:$AM, 10, FALSE), 1)</f>
        <v>6.0235684983814213E-8</v>
      </c>
      <c r="AB3" s="7">
        <f>$B3 * IFERROR(VLOOKUP("electricity|NOx|Infant mortality", US_national_yearly!$D:$AM, 36, FALSE) / VLOOKUP("electricity|NOx|Infant mortality", US_national_yearly!$D:$AM, 10, FALSE), 1)</f>
        <v>5.9829990691701177E-8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2.8788394687015223E-4</v>
      </c>
      <c r="C6" s="7">
        <f>$B6 * IFERROR(VLOOKUP("electricity|NOx|Asthma symptoms cough", US_national_yearly!$D:$AM, 11, FALSE) / VLOOKUP("electricity|NOx|Asthma symptoms cough", US_national_yearly!$D:$AM, 10, FALSE), 1)</f>
        <v>2.9183622812042101E-4</v>
      </c>
      <c r="D6" s="7">
        <f>$B6 * IFERROR(VLOOKUP("electricity|NOx|Asthma symptoms cough", US_national_yearly!$D:$AM, 12, FALSE) / VLOOKUP("electricity|NOx|Asthma symptoms cough", US_national_yearly!$D:$AM, 10, FALSE), 1)</f>
        <v>2.9578850937068984E-4</v>
      </c>
      <c r="E6" s="7">
        <f>$B6 * IFERROR(VLOOKUP("electricity|NOx|Asthma symptoms cough", US_national_yearly!$D:$AM, 13, FALSE) / VLOOKUP("electricity|NOx|Asthma symptoms cough", US_national_yearly!$D:$AM, 10, FALSE), 1)</f>
        <v>2.9974079062095862E-4</v>
      </c>
      <c r="F6" s="7">
        <f>$B6 * IFERROR(VLOOKUP("electricity|NOx|Asthma symptoms cough", US_national_yearly!$D:$AM, 14, FALSE) / VLOOKUP("electricity|NOx|Asthma symptoms cough", US_national_yearly!$D:$AM, 10, FALSE), 1)</f>
        <v>3.0369307187122735E-4</v>
      </c>
      <c r="G6" s="7">
        <f>$B6 * IFERROR(VLOOKUP("electricity|NOx|Asthma symptoms cough", US_national_yearly!$D:$AM, 15, FALSE) / VLOOKUP("electricity|NOx|Asthma symptoms cough", US_national_yearly!$D:$AM, 10, FALSE), 1)</f>
        <v>3.069064860865031E-4</v>
      </c>
      <c r="H6" s="7">
        <f>$B6 * IFERROR(VLOOKUP("electricity|NOx|Asthma symptoms cough", US_national_yearly!$D:$AM, 16, FALSE) / VLOOKUP("electricity|NOx|Asthma symptoms cough", US_national_yearly!$D:$AM, 10, FALSE), 1)</f>
        <v>3.1011990030177885E-4</v>
      </c>
      <c r="I6" s="7">
        <f>$B6 * IFERROR(VLOOKUP("electricity|NOx|Asthma symptoms cough", US_national_yearly!$D:$AM, 17, FALSE) / VLOOKUP("electricity|NOx|Asthma symptoms cough", US_national_yearly!$D:$AM, 10, FALSE), 1)</f>
        <v>3.1131444861188091E-4</v>
      </c>
      <c r="J6" s="7">
        <f>$B6 * IFERROR(VLOOKUP("electricity|NOx|Asthma symptoms cough", US_national_yearly!$D:$AM, 18, FALSE) / VLOOKUP("electricity|NOx|Asthma symptoms cough", US_national_yearly!$D:$AM, 10, FALSE), 1)</f>
        <v>3.1250899692198298E-4</v>
      </c>
      <c r="K6" s="7">
        <f>$B6 * IFERROR(VLOOKUP("electricity|NOx|Asthma symptoms cough", US_national_yearly!$D:$AM, 19, FALSE) / VLOOKUP("electricity|NOx|Asthma symptoms cough", US_national_yearly!$D:$AM, 10, FALSE), 1)</f>
        <v>3.137035452320851E-4</v>
      </c>
      <c r="L6" s="7">
        <f>$B6 * IFERROR(VLOOKUP("electricity|NOx|Asthma symptoms cough", US_national_yearly!$D:$AM, 20, FALSE) / VLOOKUP("electricity|NOx|Asthma symptoms cough", US_national_yearly!$D:$AM, 10, FALSE), 1)</f>
        <v>3.148980935421871E-4</v>
      </c>
      <c r="M6" s="7">
        <f>$B6 * IFERROR(VLOOKUP("electricity|NOx|Asthma symptoms cough", US_national_yearly!$D:$AM, 21, FALSE) / VLOOKUP("electricity|NOx|Asthma symptoms cough", US_national_yearly!$D:$AM, 10, FALSE), 1)</f>
        <v>3.1609264185228922E-4</v>
      </c>
      <c r="N6" s="7">
        <f>$B6 * IFERROR(VLOOKUP("electricity|NOx|Asthma symptoms cough", US_national_yearly!$D:$AM, 22, FALSE) / VLOOKUP("electricity|NOx|Asthma symptoms cough", US_national_yearly!$D:$AM, 10, FALSE), 1)</f>
        <v>3.1741619142986046E-4</v>
      </c>
      <c r="O6" s="7">
        <f>$B6 * IFERROR(VLOOKUP("electricity|NOx|Asthma symptoms cough", US_national_yearly!$D:$AM, 23, FALSE) / VLOOKUP("electricity|NOx|Asthma symptoms cough", US_national_yearly!$D:$AM, 10, FALSE), 1)</f>
        <v>3.187397410074317E-4</v>
      </c>
      <c r="P6" s="7">
        <f>$B6 * IFERROR(VLOOKUP("electricity|NOx|Asthma symptoms cough", US_national_yearly!$D:$AM, 24, FALSE) / VLOOKUP("electricity|NOx|Asthma symptoms cough", US_national_yearly!$D:$AM, 10, FALSE), 1)</f>
        <v>3.2006329058500293E-4</v>
      </c>
      <c r="Q6" s="7">
        <f>$B6 * IFERROR(VLOOKUP("electricity|NOx|Asthma symptoms cough", US_national_yearly!$D:$AM, 25, FALSE) / VLOOKUP("electricity|NOx|Asthma symptoms cough", US_national_yearly!$D:$AM, 10, FALSE), 1)</f>
        <v>3.2138684016257423E-4</v>
      </c>
      <c r="R6" s="7">
        <f>$B6 * IFERROR(VLOOKUP("electricity|NOx|Asthma symptoms cough", US_national_yearly!$D:$AM, 26, FALSE) / VLOOKUP("electricity|NOx|Asthma symptoms cough", US_national_yearly!$D:$AM, 10, FALSE), 1)</f>
        <v>3.2271038974014541E-4</v>
      </c>
      <c r="S6" s="7">
        <f>$B6 * IFERROR(VLOOKUP("electricity|NOx|Asthma symptoms cough", US_national_yearly!$D:$AM, 27, FALSE) / VLOOKUP("electricity|NOx|Asthma symptoms cough", US_national_yearly!$D:$AM, 10, FALSE), 1)</f>
        <v>3.2436163972106611E-4</v>
      </c>
      <c r="T6" s="7">
        <f>$B6 * IFERROR(VLOOKUP("electricity|NOx|Asthma symptoms cough", US_national_yearly!$D:$AM, 28, FALSE) / VLOOKUP("electricity|NOx|Asthma symptoms cough", US_national_yearly!$D:$AM, 10, FALSE), 1)</f>
        <v>3.2601288970198676E-4</v>
      </c>
      <c r="U6" s="7">
        <f>$B6 * IFERROR(VLOOKUP("electricity|NOx|Asthma symptoms cough", US_national_yearly!$D:$AM, 29, FALSE) / VLOOKUP("electricity|NOx|Asthma symptoms cough", US_national_yearly!$D:$AM, 10, FALSE), 1)</f>
        <v>3.2766413968290757E-4</v>
      </c>
      <c r="V6" s="7">
        <f>$B6 * IFERROR(VLOOKUP("electricity|NOx|Asthma symptoms cough", US_national_yearly!$D:$AM, 30, FALSE) / VLOOKUP("electricity|NOx|Asthma symptoms cough", US_national_yearly!$D:$AM, 10, FALSE), 1)</f>
        <v>3.2931538966382822E-4</v>
      </c>
      <c r="W6" s="7">
        <f>$B6 * IFERROR(VLOOKUP("electricity|NOx|Asthma symptoms cough", US_national_yearly!$D:$AM, 31, FALSE) / VLOOKUP("electricity|NOx|Asthma symptoms cough", US_national_yearly!$D:$AM, 10, FALSE), 1)</f>
        <v>3.3096663964474893E-4</v>
      </c>
      <c r="X6" s="7">
        <f>$B6 * IFERROR(VLOOKUP("electricity|NOx|Asthma symptoms cough", US_national_yearly!$D:$AM, 32, FALSE) / VLOOKUP("electricity|NOx|Asthma symptoms cough", US_national_yearly!$D:$AM, 10, FALSE), 1)</f>
        <v>3.324879472745533E-4</v>
      </c>
      <c r="Y6" s="7">
        <f>$B6 * IFERROR(VLOOKUP("electricity|NOx|Asthma symptoms cough", US_national_yearly!$D:$AM, 33, FALSE) / VLOOKUP("electricity|NOx|Asthma symptoms cough", US_national_yearly!$D:$AM, 10, FALSE), 1)</f>
        <v>3.3400925490435768E-4</v>
      </c>
      <c r="Z6" s="7">
        <f>$B6 * IFERROR(VLOOKUP("electricity|NOx|Asthma symptoms cough", US_national_yearly!$D:$AM, 34, FALSE) / VLOOKUP("electricity|NOx|Asthma symptoms cough", US_national_yearly!$D:$AM, 10, FALSE), 1)</f>
        <v>3.3553056253416211E-4</v>
      </c>
      <c r="AA6" s="7">
        <f>$B6 * IFERROR(VLOOKUP("electricity|NOx|Asthma symptoms cough", US_national_yearly!$D:$AM, 35, FALSE) / VLOOKUP("electricity|NOx|Asthma symptoms cough", US_national_yearly!$D:$AM, 10, FALSE), 1)</f>
        <v>3.3705187016396643E-4</v>
      </c>
      <c r="AB6" s="7">
        <f>$B6 * IFERROR(VLOOKUP("electricity|NOx|Asthma symptoms cough", US_national_yearly!$D:$AM, 36, FALSE) / VLOOKUP("electricity|NOx|Asthma symptoms cough", US_national_yearly!$D:$AM, 10, FALSE), 1)</f>
        <v>3.3857317779377086E-4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3.8767638950004273E-4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3.9299869433569873E-4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3.9832099917135478E-4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4.0364330400701078E-4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4.0896560884266672E-4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4.1329292486907125E-4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4.1762024089547572E-4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4.1922886887409692E-4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4.208374968527179E-4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4.2244612483133905E-4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4.2405475280996008E-4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4.2566338078858118E-4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4.2744572719311338E-4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4.2922807359764564E-4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4.3101042000217779E-4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4.3279276640671011E-4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4.3457511281124226E-4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4.3679875408914466E-4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4.3902239536704695E-4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4.4124603664494929E-4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4.4346967792285158E-4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4.4569331920075398E-4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4.4774197475204534E-4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4.497906303033368E-4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4.5183928585462816E-4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4.5388794140591951E-4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4.5593659695721098E-4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5.9230781025709431E-4</v>
      </c>
      <c r="C8" s="7">
        <f>$B8 * IFERROR(VLOOKUP("electricity|NOx|Asthma symptoms wheeze", US_national_yearly!$D:$AM, 11, FALSE) / VLOOKUP("electricity|NOx|Asthma symptoms wheeze", US_national_yearly!$D:$AM, 10, FALSE), 1)</f>
        <v>6.0043944481925058E-4</v>
      </c>
      <c r="D8" s="7">
        <f>$B8 * IFERROR(VLOOKUP("electricity|NOx|Asthma symptoms wheeze", US_national_yearly!$D:$AM, 12, FALSE) / VLOOKUP("electricity|NOx|Asthma symptoms wheeze", US_national_yearly!$D:$AM, 10, FALSE), 1)</f>
        <v>6.0857107938140685E-4</v>
      </c>
      <c r="E8" s="7">
        <f>$B8 * IFERROR(VLOOKUP("electricity|NOx|Asthma symptoms wheeze", US_national_yearly!$D:$AM, 13, FALSE) / VLOOKUP("electricity|NOx|Asthma symptoms wheeze", US_national_yearly!$D:$AM, 10, FALSE), 1)</f>
        <v>6.1670271394356313E-4</v>
      </c>
      <c r="F8" s="7">
        <f>$B8 * IFERROR(VLOOKUP("electricity|NOx|Asthma symptoms wheeze", US_national_yearly!$D:$AM, 14, FALSE) / VLOOKUP("electricity|NOx|Asthma symptoms wheeze", US_national_yearly!$D:$AM, 10, FALSE), 1)</f>
        <v>6.2483434850571962E-4</v>
      </c>
      <c r="G8" s="7">
        <f>$B8 * IFERROR(VLOOKUP("electricity|NOx|Asthma symptoms wheeze", US_national_yearly!$D:$AM, 15, FALSE) / VLOOKUP("electricity|NOx|Asthma symptoms wheeze", US_national_yearly!$D:$AM, 10, FALSE), 1)</f>
        <v>6.3144579856076874E-4</v>
      </c>
      <c r="H8" s="7">
        <f>$B8 * IFERROR(VLOOKUP("electricity|NOx|Asthma symptoms wheeze", US_national_yearly!$D:$AM, 16, FALSE) / VLOOKUP("electricity|NOx|Asthma symptoms wheeze", US_national_yearly!$D:$AM, 10, FALSE), 1)</f>
        <v>6.3805724861581796E-4</v>
      </c>
      <c r="I8" s="7">
        <f>$B8 * IFERROR(VLOOKUP("electricity|NOx|Asthma symptoms wheeze", US_national_yearly!$D:$AM, 17, FALSE) / VLOOKUP("electricity|NOx|Asthma symptoms wheeze", US_national_yearly!$D:$AM, 10, FALSE), 1)</f>
        <v>6.4051497611394273E-4</v>
      </c>
      <c r="J8" s="7">
        <f>$B8 * IFERROR(VLOOKUP("electricity|NOx|Asthma symptoms wheeze", US_national_yearly!$D:$AM, 18, FALSE) / VLOOKUP("electricity|NOx|Asthma symptoms wheeze", US_national_yearly!$D:$AM, 10, FALSE), 1)</f>
        <v>6.4297270361206749E-4</v>
      </c>
      <c r="K8" s="7">
        <f>$B8 * IFERROR(VLOOKUP("electricity|NOx|Asthma symptoms wheeze", US_national_yearly!$D:$AM, 19, FALSE) / VLOOKUP("electricity|NOx|Asthma symptoms wheeze", US_national_yearly!$D:$AM, 10, FALSE), 1)</f>
        <v>6.4543043111019258E-4</v>
      </c>
      <c r="L8" s="7">
        <f>$B8 * IFERROR(VLOOKUP("electricity|NOx|Asthma symptoms wheeze", US_national_yearly!$D:$AM, 20, FALSE) / VLOOKUP("electricity|NOx|Asthma symptoms wheeze", US_national_yearly!$D:$AM, 10, FALSE), 1)</f>
        <v>6.4788815860831734E-4</v>
      </c>
      <c r="M8" s="7">
        <f>$B8 * IFERROR(VLOOKUP("electricity|NOx|Asthma symptoms wheeze", US_national_yearly!$D:$AM, 21, FALSE) / VLOOKUP("electricity|NOx|Asthma symptoms wheeze", US_national_yearly!$D:$AM, 10, FALSE), 1)</f>
        <v>6.5034588610644211E-4</v>
      </c>
      <c r="N8" s="7">
        <f>$B8 * IFERROR(VLOOKUP("electricity|NOx|Asthma symptoms wheeze", US_national_yearly!$D:$AM, 22, FALSE) / VLOOKUP("electricity|NOx|Asthma symptoms wheeze", US_national_yearly!$D:$AM, 10, FALSE), 1)</f>
        <v>6.5306902770296529E-4</v>
      </c>
      <c r="O8" s="7">
        <f>$B8 * IFERROR(VLOOKUP("electricity|NOx|Asthma symptoms wheeze", US_national_yearly!$D:$AM, 23, FALSE) / VLOOKUP("electricity|NOx|Asthma symptoms wheeze", US_national_yearly!$D:$AM, 10, FALSE), 1)</f>
        <v>6.5579216929948869E-4</v>
      </c>
      <c r="P8" s="7">
        <f>$B8 * IFERROR(VLOOKUP("electricity|NOx|Asthma symptoms wheeze", US_national_yearly!$D:$AM, 24, FALSE) / VLOOKUP("electricity|NOx|Asthma symptoms wheeze", US_national_yearly!$D:$AM, 10, FALSE), 1)</f>
        <v>6.5851531089601198E-4</v>
      </c>
      <c r="Q8" s="7">
        <f>$B8 * IFERROR(VLOOKUP("electricity|NOx|Asthma symptoms wheeze", US_national_yearly!$D:$AM, 25, FALSE) / VLOOKUP("electricity|NOx|Asthma symptoms wheeze", US_national_yearly!$D:$AM, 10, FALSE), 1)</f>
        <v>6.6123845249253528E-4</v>
      </c>
      <c r="R8" s="7">
        <f>$B8 * IFERROR(VLOOKUP("electricity|NOx|Asthma symptoms wheeze", US_national_yearly!$D:$AM, 26, FALSE) / VLOOKUP("electricity|NOx|Asthma symptoms wheeze", US_national_yearly!$D:$AM, 10, FALSE), 1)</f>
        <v>6.6396159408905846E-4</v>
      </c>
      <c r="S8" s="7">
        <f>$B8 * IFERROR(VLOOKUP("electricity|NOx|Asthma symptoms wheeze", US_national_yearly!$D:$AM, 27, FALSE) / VLOOKUP("electricity|NOx|Asthma symptoms wheeze", US_national_yearly!$D:$AM, 10, FALSE), 1)</f>
        <v>6.673589640001146E-4</v>
      </c>
      <c r="T8" s="7">
        <f>$B8 * IFERROR(VLOOKUP("electricity|NOx|Asthma symptoms wheeze", US_national_yearly!$D:$AM, 28, FALSE) / VLOOKUP("electricity|NOx|Asthma symptoms wheeze", US_national_yearly!$D:$AM, 10, FALSE), 1)</f>
        <v>6.7075633391117085E-4</v>
      </c>
      <c r="U8" s="7">
        <f>$B8 * IFERROR(VLOOKUP("electricity|NOx|Asthma symptoms wheeze", US_national_yearly!$D:$AM, 29, FALSE) / VLOOKUP("electricity|NOx|Asthma symptoms wheeze", US_national_yearly!$D:$AM, 10, FALSE), 1)</f>
        <v>6.7415370382222688E-4</v>
      </c>
      <c r="V8" s="7">
        <f>$B8 * IFERROR(VLOOKUP("electricity|NOx|Asthma symptoms wheeze", US_national_yearly!$D:$AM, 30, FALSE) / VLOOKUP("electricity|NOx|Asthma symptoms wheeze", US_national_yearly!$D:$AM, 10, FALSE), 1)</f>
        <v>6.7755107373328302E-4</v>
      </c>
      <c r="W8" s="7">
        <f>$B8 * IFERROR(VLOOKUP("electricity|NOx|Asthma symptoms wheeze", US_national_yearly!$D:$AM, 31, FALSE) / VLOOKUP("electricity|NOx|Asthma symptoms wheeze", US_national_yearly!$D:$AM, 10, FALSE), 1)</f>
        <v>6.8094844364433916E-4</v>
      </c>
      <c r="X8" s="7">
        <f>$B8 * IFERROR(VLOOKUP("electricity|NOx|Asthma symptoms wheeze", US_national_yearly!$D:$AM, 32, FALSE) / VLOOKUP("electricity|NOx|Asthma symptoms wheeze", US_national_yearly!$D:$AM, 10, FALSE), 1)</f>
        <v>6.8407846322091396E-4</v>
      </c>
      <c r="Y8" s="7">
        <f>$B8 * IFERROR(VLOOKUP("electricity|NOx|Asthma symptoms wheeze", US_national_yearly!$D:$AM, 33, FALSE) / VLOOKUP("electricity|NOx|Asthma symptoms wheeze", US_national_yearly!$D:$AM, 10, FALSE), 1)</f>
        <v>6.8720848279748886E-4</v>
      </c>
      <c r="Z8" s="7">
        <f>$B8 * IFERROR(VLOOKUP("electricity|NOx|Asthma symptoms wheeze", US_national_yearly!$D:$AM, 34, FALSE) / VLOOKUP("electricity|NOx|Asthma symptoms wheeze", US_national_yearly!$D:$AM, 10, FALSE), 1)</f>
        <v>6.9033850237406355E-4</v>
      </c>
      <c r="AA8" s="7">
        <f>$B8 * IFERROR(VLOOKUP("electricity|NOx|Asthma symptoms wheeze", US_national_yearly!$D:$AM, 35, FALSE) / VLOOKUP("electricity|NOx|Asthma symptoms wheeze", US_national_yearly!$D:$AM, 10, FALSE), 1)</f>
        <v>6.9346852195063845E-4</v>
      </c>
      <c r="AB8" s="7">
        <f>$B8 * IFERROR(VLOOKUP("electricity|NOx|Asthma symptoms wheeze", US_national_yearly!$D:$AM, 36, FALSE) / VLOOKUP("electricity|NOx|Asthma symptoms wheeze", US_national_yearly!$D:$AM, 10, FALSE), 1)</f>
        <v>6.9659854152721314E-4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1.128637026023703E-5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1.1575433053516825E-5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1.1864495846796624E-5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1.2153558640076422E-5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1.2442621433356214E-5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1.2720888969909043E-5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1.2999156506461876E-5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1.3238443695277995E-5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1.3477730884094115E-5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1.3717018072910242E-5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1.3956305261726361E-5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1.4195592450542484E-5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1.4359578965789335E-5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1.4523565481036186E-5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1.4687551996283037E-5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1.4851538511529886E-5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1.5015525026776736E-5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1.5108920578902886E-5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1.5202316131029037E-5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1.5295711683155182E-5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1.5389107235281332E-5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1.5482502787407481E-5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1.5550433630616822E-5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1.5618364473826163E-5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1.5686295317035507E-5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1.5754226160244847E-5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1.5822157003454188E-5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4.8833804493685663E-5</v>
      </c>
      <c r="C13" s="7">
        <f>$B13 * IFERROR(VLOOKUP("electricity|NOx|Non-fatal heart attacks", US_national_yearly!$D:$AM, 11, FALSE) / VLOOKUP("electricity|NOx|Non-fatal heart attacks", US_national_yearly!$D:$AM, 10, FALSE), 1)</f>
        <v>5.023520014799097E-5</v>
      </c>
      <c r="D13" s="7">
        <f>$B13 * IFERROR(VLOOKUP("electricity|NOx|Non-fatal heart attacks", US_national_yearly!$D:$AM, 12, FALSE) / VLOOKUP("electricity|NOx|Non-fatal heart attacks", US_national_yearly!$D:$AM, 10, FALSE), 1)</f>
        <v>5.1636595802296285E-5</v>
      </c>
      <c r="E13" s="7">
        <f>$B13 * IFERROR(VLOOKUP("electricity|NOx|Non-fatal heart attacks", US_national_yearly!$D:$AM, 13, FALSE) / VLOOKUP("electricity|NOx|Non-fatal heart attacks", US_national_yearly!$D:$AM, 10, FALSE), 1)</f>
        <v>5.3037991456601592E-5</v>
      </c>
      <c r="F13" s="7">
        <f>$B13 * IFERROR(VLOOKUP("electricity|NOx|Non-fatal heart attacks", US_national_yearly!$D:$AM, 14, FALSE) / VLOOKUP("electricity|NOx|Non-fatal heart attacks", US_national_yearly!$D:$AM, 10, FALSE), 1)</f>
        <v>5.4439387110906913E-5</v>
      </c>
      <c r="G13" s="7">
        <f>$B13 * IFERROR(VLOOKUP("electricity|NOx|Non-fatal heart attacks", US_national_yearly!$D:$AM, 15, FALSE) / VLOOKUP("electricity|NOx|Non-fatal heart attacks", US_national_yearly!$D:$AM, 10, FALSE), 1)</f>
        <v>5.575955558649549E-5</v>
      </c>
      <c r="H13" s="7">
        <f>$B13 * IFERROR(VLOOKUP("electricity|NOx|Non-fatal heart attacks", US_national_yearly!$D:$AM, 16, FALSE) / VLOOKUP("electricity|NOx|Non-fatal heart attacks", US_national_yearly!$D:$AM, 10, FALSE), 1)</f>
        <v>5.707972406208406E-5</v>
      </c>
      <c r="I13" s="7">
        <f>$B13 * IFERROR(VLOOKUP("electricity|NOx|Non-fatal heart attacks", US_national_yearly!$D:$AM, 17, FALSE) / VLOOKUP("electricity|NOx|Non-fatal heart attacks", US_national_yearly!$D:$AM, 10, FALSE), 1)</f>
        <v>5.8138365618965677E-5</v>
      </c>
      <c r="J13" s="7">
        <f>$B13 * IFERROR(VLOOKUP("electricity|NOx|Non-fatal heart attacks", US_national_yearly!$D:$AM, 18, FALSE) / VLOOKUP("electricity|NOx|Non-fatal heart attacks", US_national_yearly!$D:$AM, 10, FALSE), 1)</f>
        <v>5.9197007175847294E-5</v>
      </c>
      <c r="K13" s="7">
        <f>$B13 * IFERROR(VLOOKUP("electricity|NOx|Non-fatal heart attacks", US_national_yearly!$D:$AM, 19, FALSE) / VLOOKUP("electricity|NOx|Non-fatal heart attacks", US_national_yearly!$D:$AM, 10, FALSE), 1)</f>
        <v>6.025564873272885E-5</v>
      </c>
      <c r="L13" s="7">
        <f>$B13 * IFERROR(VLOOKUP("electricity|NOx|Non-fatal heart attacks", US_national_yearly!$D:$AM, 20, FALSE) / VLOOKUP("electricity|NOx|Non-fatal heart attacks", US_national_yearly!$D:$AM, 10, FALSE), 1)</f>
        <v>6.1314290289610468E-5</v>
      </c>
      <c r="M13" s="7">
        <f>$B13 * IFERROR(VLOOKUP("electricity|NOx|Non-fatal heart attacks", US_national_yearly!$D:$AM, 21, FALSE) / VLOOKUP("electricity|NOx|Non-fatal heart attacks", US_national_yearly!$D:$AM, 10, FALSE), 1)</f>
        <v>6.2372931846492092E-5</v>
      </c>
      <c r="N13" s="7">
        <f>$B13 * IFERROR(VLOOKUP("electricity|NOx|Non-fatal heart attacks", US_national_yearly!$D:$AM, 22, FALSE) / VLOOKUP("electricity|NOx|Non-fatal heart attacks", US_national_yearly!$D:$AM, 10, FALSE), 1)</f>
        <v>6.302581809049155E-5</v>
      </c>
      <c r="O13" s="7">
        <f>$B13 * IFERROR(VLOOKUP("electricity|NOx|Non-fatal heart attacks", US_national_yearly!$D:$AM, 23, FALSE) / VLOOKUP("electricity|NOx|Non-fatal heart attacks", US_national_yearly!$D:$AM, 10, FALSE), 1)</f>
        <v>6.3678704334491022E-5</v>
      </c>
      <c r="P13" s="7">
        <f>$B13 * IFERROR(VLOOKUP("electricity|NOx|Non-fatal heart attacks", US_national_yearly!$D:$AM, 24, FALSE) / VLOOKUP("electricity|NOx|Non-fatal heart attacks", US_national_yearly!$D:$AM, 10, FALSE), 1)</f>
        <v>6.4331590578490481E-5</v>
      </c>
      <c r="Q13" s="7">
        <f>$B13 * IFERROR(VLOOKUP("electricity|NOx|Non-fatal heart attacks", US_national_yearly!$D:$AM, 25, FALSE) / VLOOKUP("electricity|NOx|Non-fatal heart attacks", US_national_yearly!$D:$AM, 10, FALSE), 1)</f>
        <v>6.4984476822489939E-5</v>
      </c>
      <c r="R13" s="7">
        <f>$B13 * IFERROR(VLOOKUP("electricity|NOx|Non-fatal heart attacks", US_national_yearly!$D:$AM, 26, FALSE) / VLOOKUP("electricity|NOx|Non-fatal heart attacks", US_national_yearly!$D:$AM, 10, FALSE), 1)</f>
        <v>6.5637363066489398E-5</v>
      </c>
      <c r="S13" s="7">
        <f>$B13 * IFERROR(VLOOKUP("electricity|NOx|Non-fatal heart attacks", US_national_yearly!$D:$AM, 27, FALSE) / VLOOKUP("electricity|NOx|Non-fatal heart attacks", US_national_yearly!$D:$AM, 10, FALSE), 1)</f>
        <v>6.5956361110205855E-5</v>
      </c>
      <c r="T13" s="7">
        <f>$B13 * IFERROR(VLOOKUP("electricity|NOx|Non-fatal heart attacks", US_national_yearly!$D:$AM, 28, FALSE) / VLOOKUP("electricity|NOx|Non-fatal heart attacks", US_national_yearly!$D:$AM, 10, FALSE), 1)</f>
        <v>6.6275359153922299E-5</v>
      </c>
      <c r="U13" s="7">
        <f>$B13 * IFERROR(VLOOKUP("electricity|NOx|Non-fatal heart attacks", US_national_yearly!$D:$AM, 29, FALSE) / VLOOKUP("electricity|NOx|Non-fatal heart attacks", US_national_yearly!$D:$AM, 10, FALSE), 1)</f>
        <v>6.659435719763877E-5</v>
      </c>
      <c r="V13" s="7">
        <f>$B13 * IFERROR(VLOOKUP("electricity|NOx|Non-fatal heart attacks", US_national_yearly!$D:$AM, 30, FALSE) / VLOOKUP("electricity|NOx|Non-fatal heart attacks", US_national_yearly!$D:$AM, 10, FALSE), 1)</f>
        <v>6.6913355241355214E-5</v>
      </c>
      <c r="W13" s="7">
        <f>$B13 * IFERROR(VLOOKUP("electricity|NOx|Non-fatal heart attacks", US_national_yearly!$D:$AM, 31, FALSE) / VLOOKUP("electricity|NOx|Non-fatal heart attacks", US_national_yearly!$D:$AM, 10, FALSE), 1)</f>
        <v>6.7232353285071671E-5</v>
      </c>
      <c r="X13" s="7">
        <f>$B13 * IFERROR(VLOOKUP("electricity|NOx|Non-fatal heart attacks", US_national_yearly!$D:$AM, 32, FALSE) / VLOOKUP("electricity|NOx|Non-fatal heart attacks", US_national_yearly!$D:$AM, 10, FALSE), 1)</f>
        <v>6.7455005442172277E-5</v>
      </c>
      <c r="Y13" s="7">
        <f>$B13 * IFERROR(VLOOKUP("electricity|NOx|Non-fatal heart attacks", US_national_yearly!$D:$AM, 33, FALSE) / VLOOKUP("electricity|NOx|Non-fatal heart attacks", US_national_yearly!$D:$AM, 10, FALSE), 1)</f>
        <v>6.7677657599272896E-5</v>
      </c>
      <c r="Z13" s="7">
        <f>$B13 * IFERROR(VLOOKUP("electricity|NOx|Non-fatal heart attacks", US_national_yearly!$D:$AM, 34, FALSE) / VLOOKUP("electricity|NOx|Non-fatal heart attacks", US_national_yearly!$D:$AM, 10, FALSE), 1)</f>
        <v>6.7900309756373502E-5</v>
      </c>
      <c r="AA13" s="7">
        <f>$B13 * IFERROR(VLOOKUP("electricity|NOx|Non-fatal heart attacks", US_national_yearly!$D:$AM, 35, FALSE) / VLOOKUP("electricity|NOx|Non-fatal heart attacks", US_national_yearly!$D:$AM, 10, FALSE), 1)</f>
        <v>6.8122961913474108E-5</v>
      </c>
      <c r="AB13" s="7">
        <f>$B13 * IFERROR(VLOOKUP("electricity|NOx|Non-fatal heart attacks", US_national_yearly!$D:$AM, 36, FALSE) / VLOOKUP("electricity|NOx|Non-fatal heart attacks", US_national_yearly!$D:$AM, 10, FALSE), 1)</f>
        <v>6.8345614070574728E-5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3.3335850111903112E-2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3.3386961248686051E-2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3.3438072385468982E-2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3.3489183522251921E-2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3.3540294659034867E-2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3.3629450342762386E-2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3.3718606026489899E-2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3.3894999942969219E-2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3.4071393859448525E-2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3.4247787775927838E-2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3.4424181692407144E-2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3.4600575608886464E-2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3.4855656032794731E-2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3.5110736456702991E-2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3.5365816880611245E-2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3.5620897304519512E-2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3.587597772842778E-2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3.6132987152742393E-2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3.6389996577057007E-2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3.6647006001371628E-2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3.6904015425686235E-2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3.7161024850000848E-2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3.737837865768398E-2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3.7595732465367092E-2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3.7813086273050252E-2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3.8030440080733377E-2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3.8247793888416502E-2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5.6236471185730514E-3</v>
      </c>
      <c r="C15" s="7">
        <f>$B15 * IFERROR(VLOOKUP("electricity|NOx|Work loss days", US_national_yearly!$D:$AM, 11, FALSE) / VLOOKUP("electricity|NOx|Work loss days", US_national_yearly!$D:$AM, 10, FALSE), 1)</f>
        <v>5.6361898615409859E-3</v>
      </c>
      <c r="D15" s="7">
        <f>$B15 * IFERROR(VLOOKUP("electricity|NOx|Work loss days", US_national_yearly!$D:$AM, 12, FALSE) / VLOOKUP("electricity|NOx|Work loss days", US_national_yearly!$D:$AM, 10, FALSE), 1)</f>
        <v>5.6487326045089204E-3</v>
      </c>
      <c r="E15" s="7">
        <f>$B15 * IFERROR(VLOOKUP("electricity|NOx|Work loss days", US_national_yearly!$D:$AM, 13, FALSE) / VLOOKUP("electricity|NOx|Work loss days", US_national_yearly!$D:$AM, 10, FALSE), 1)</f>
        <v>5.6612753474768558E-3</v>
      </c>
      <c r="F15" s="7">
        <f>$B15 * IFERROR(VLOOKUP("electricity|NOx|Work loss days", US_national_yearly!$D:$AM, 14, FALSE) / VLOOKUP("electricity|NOx|Work loss days", US_national_yearly!$D:$AM, 10, FALSE), 1)</f>
        <v>5.6738180904447903E-3</v>
      </c>
      <c r="G15" s="7">
        <f>$B15 * IFERROR(VLOOKUP("electricity|NOx|Work loss days", US_national_yearly!$D:$AM, 15, FALSE) / VLOOKUP("electricity|NOx|Work loss days", US_national_yearly!$D:$AM, 10, FALSE), 1)</f>
        <v>5.691500482708221E-3</v>
      </c>
      <c r="H15" s="7">
        <f>$B15 * IFERROR(VLOOKUP("electricity|NOx|Work loss days", US_national_yearly!$D:$AM, 16, FALSE) / VLOOKUP("electricity|NOx|Work loss days", US_national_yearly!$D:$AM, 10, FALSE), 1)</f>
        <v>5.7091828749716508E-3</v>
      </c>
      <c r="I15" s="7">
        <f>$B15 * IFERROR(VLOOKUP("electricity|NOx|Work loss days", US_national_yearly!$D:$AM, 17, FALSE) / VLOOKUP("electricity|NOx|Work loss days", US_national_yearly!$D:$AM, 10, FALSE), 1)</f>
        <v>5.7378943332128075E-3</v>
      </c>
      <c r="J15" s="7">
        <f>$B15 * IFERROR(VLOOKUP("electricity|NOx|Work loss days", US_national_yearly!$D:$AM, 18, FALSE) / VLOOKUP("electricity|NOx|Work loss days", US_national_yearly!$D:$AM, 10, FALSE), 1)</f>
        <v>5.7666057914539642E-3</v>
      </c>
      <c r="K15" s="7">
        <f>$B15 * IFERROR(VLOOKUP("electricity|NOx|Work loss days", US_national_yearly!$D:$AM, 19, FALSE) / VLOOKUP("electricity|NOx|Work loss days", US_national_yearly!$D:$AM, 10, FALSE), 1)</f>
        <v>5.7953172496951191E-3</v>
      </c>
      <c r="L15" s="7">
        <f>$B15 * IFERROR(VLOOKUP("electricity|NOx|Work loss days", US_national_yearly!$D:$AM, 20, FALSE) / VLOOKUP("electricity|NOx|Work loss days", US_national_yearly!$D:$AM, 10, FALSE), 1)</f>
        <v>5.824028707936274E-3</v>
      </c>
      <c r="M15" s="7">
        <f>$B15 * IFERROR(VLOOKUP("electricity|NOx|Work loss days", US_national_yearly!$D:$AM, 21, FALSE) / VLOOKUP("electricity|NOx|Work loss days", US_national_yearly!$D:$AM, 10, FALSE), 1)</f>
        <v>5.852740166177429E-3</v>
      </c>
      <c r="N15" s="7">
        <f>$B15 * IFERROR(VLOOKUP("electricity|NOx|Work loss days", US_national_yearly!$D:$AM, 22, FALSE) / VLOOKUP("electricity|NOx|Work loss days", US_national_yearly!$D:$AM, 10, FALSE), 1)</f>
        <v>5.8906211759222208E-3</v>
      </c>
      <c r="O15" s="7">
        <f>$B15 * IFERROR(VLOOKUP("electricity|NOx|Work loss days", US_national_yearly!$D:$AM, 23, FALSE) / VLOOKUP("electricity|NOx|Work loss days", US_national_yearly!$D:$AM, 10, FALSE), 1)</f>
        <v>5.9285021856670117E-3</v>
      </c>
      <c r="P15" s="7">
        <f>$B15 * IFERROR(VLOOKUP("electricity|NOx|Work loss days", US_national_yearly!$D:$AM, 24, FALSE) / VLOOKUP("electricity|NOx|Work loss days", US_national_yearly!$D:$AM, 10, FALSE), 1)</f>
        <v>5.9663831954118035E-3</v>
      </c>
      <c r="Q15" s="7">
        <f>$B15 * IFERROR(VLOOKUP("electricity|NOx|Work loss days", US_national_yearly!$D:$AM, 25, FALSE) / VLOOKUP("electricity|NOx|Work loss days", US_national_yearly!$D:$AM, 10, FALSE), 1)</f>
        <v>6.0042642051565962E-3</v>
      </c>
      <c r="R15" s="7">
        <f>$B15 * IFERROR(VLOOKUP("electricity|NOx|Work loss days", US_national_yearly!$D:$AM, 26, FALSE) / VLOOKUP("electricity|NOx|Work loss days", US_national_yearly!$D:$AM, 10, FALSE), 1)</f>
        <v>6.0421452149013854E-3</v>
      </c>
      <c r="S15" s="7">
        <f>$B15 * IFERROR(VLOOKUP("electricity|NOx|Work loss days", US_national_yearly!$D:$AM, 27, FALSE) / VLOOKUP("electricity|NOx|Work loss days", US_national_yearly!$D:$AM, 10, FALSE), 1)</f>
        <v>6.0845957100935195E-3</v>
      </c>
      <c r="T15" s="7">
        <f>$B15 * IFERROR(VLOOKUP("electricity|NOx|Work loss days", US_national_yearly!$D:$AM, 28, FALSE) / VLOOKUP("electricity|NOx|Work loss days", US_national_yearly!$D:$AM, 10, FALSE), 1)</f>
        <v>6.1270462052856528E-3</v>
      </c>
      <c r="U15" s="7">
        <f>$B15 * IFERROR(VLOOKUP("electricity|NOx|Work loss days", US_national_yearly!$D:$AM, 29, FALSE) / VLOOKUP("electricity|NOx|Work loss days", US_national_yearly!$D:$AM, 10, FALSE), 1)</f>
        <v>6.169496700477786E-3</v>
      </c>
      <c r="V15" s="7">
        <f>$B15 * IFERROR(VLOOKUP("electricity|NOx|Work loss days", US_national_yearly!$D:$AM, 30, FALSE) / VLOOKUP("electricity|NOx|Work loss days", US_national_yearly!$D:$AM, 10, FALSE), 1)</f>
        <v>6.2119471956699193E-3</v>
      </c>
      <c r="W15" s="7">
        <f>$B15 * IFERROR(VLOOKUP("electricity|NOx|Work loss days", US_national_yearly!$D:$AM, 31, FALSE) / VLOOKUP("electricity|NOx|Work loss days", US_national_yearly!$D:$AM, 10, FALSE), 1)</f>
        <v>6.2543976908620543E-3</v>
      </c>
      <c r="X15" s="7">
        <f>$B15 * IFERROR(VLOOKUP("electricity|NOx|Work loss days", US_national_yearly!$D:$AM, 32, FALSE) / VLOOKUP("electricity|NOx|Work loss days", US_national_yearly!$D:$AM, 10, FALSE), 1)</f>
        <v>6.2914019713167877E-3</v>
      </c>
      <c r="Y15" s="7">
        <f>$B15 * IFERROR(VLOOKUP("electricity|NOx|Work loss days", US_national_yearly!$D:$AM, 33, FALSE) / VLOOKUP("electricity|NOx|Work loss days", US_national_yearly!$D:$AM, 10, FALSE), 1)</f>
        <v>6.3284062517715211E-3</v>
      </c>
      <c r="Z15" s="7">
        <f>$B15 * IFERROR(VLOOKUP("electricity|NOx|Work loss days", US_national_yearly!$D:$AM, 34, FALSE) / VLOOKUP("electricity|NOx|Work loss days", US_national_yearly!$D:$AM, 10, FALSE), 1)</f>
        <v>6.3654105322262537E-3</v>
      </c>
      <c r="AA15" s="7">
        <f>$B15 * IFERROR(VLOOKUP("electricity|NOx|Work loss days", US_national_yearly!$D:$AM, 35, FALSE) / VLOOKUP("electricity|NOx|Work loss days", US_national_yearly!$D:$AM, 10, FALSE), 1)</f>
        <v>6.4024148126809888E-3</v>
      </c>
      <c r="AB15" s="7">
        <f>$B15 * IFERROR(VLOOKUP("electricity|NOx|Work loss days", US_national_yearly!$D:$AM, 36, FALSE) / VLOOKUP("electricity|NOx|Work loss days", US_national_yearly!$D:$AM, 10, FALSE), 1)</f>
        <v>6.4394190931357223E-3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9.6517316282339482E-6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9.9360391485522548E-6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1.0220346668870562E-5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1.0504654189188868E-5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1.0788961709507177E-5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1.106120823481063E-5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1.1333454760114085E-5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1.1565831145166768E-5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1.1798207530219453E-5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1.2030583915272137E-5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1.2262960300324823E-5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1.2495336685377506E-5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1.2644469371531776E-5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1.2793602057686047E-5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1.2942734743840318E-5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1.3091867429994589E-5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1.324100011614886E-5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1.3314390939199758E-5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1.3387781762250657E-5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1.3461172585301556E-5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1.3534563408352457E-5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1.3607954231403357E-5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1.3651940139307672E-5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1.3695926047211988E-5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1.3739911955116305E-5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1.378389786302062E-5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1.3827883770924937E-5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5.825587109842842E-4</v>
      </c>
      <c r="C2" s="7">
        <f>$B2 * IFERROR(VLOOKUP("electricity|SO2|Premature mortality", US_national_yearly!$D:$AM, 11, FALSE) / VLOOKUP("electricity|SO2|Premature mortality", US_national_yearly!$D:$AM, 10, FALSE), 1)</f>
        <v>5.9002724805919094E-4</v>
      </c>
      <c r="D2" s="7">
        <f>$B2 * IFERROR(VLOOKUP("electricity|SO2|Premature mortality", US_national_yearly!$D:$AM, 12, FALSE) / VLOOKUP("electricity|SO2|Premature mortality", US_national_yearly!$D:$AM, 10, FALSE), 1)</f>
        <v>5.9749578513409757E-4</v>
      </c>
      <c r="E2" s="7">
        <f>$B2 * IFERROR(VLOOKUP("electricity|SO2|Premature mortality", US_national_yearly!$D:$AM, 13, FALSE) / VLOOKUP("electricity|SO2|Premature mortality", US_national_yearly!$D:$AM, 10, FALSE), 1)</f>
        <v>6.0496432220900431E-4</v>
      </c>
      <c r="F2" s="7">
        <f>$B2 * IFERROR(VLOOKUP("electricity|SO2|Premature mortality", US_national_yearly!$D:$AM, 14, FALSE) / VLOOKUP("electricity|SO2|Premature mortality", US_national_yearly!$D:$AM, 10, FALSE), 1)</f>
        <v>6.1243285928391095E-4</v>
      </c>
      <c r="G2" s="7">
        <f>$B2 * IFERROR(VLOOKUP("electricity|SO2|Premature mortality", US_national_yearly!$D:$AM, 15, FALSE) / VLOOKUP("electricity|SO2|Premature mortality", US_national_yearly!$D:$AM, 10, FALSE), 1)</f>
        <v>6.268202572876487E-4</v>
      </c>
      <c r="H2" s="7">
        <f>$B2 * IFERROR(VLOOKUP("electricity|SO2|Premature mortality", US_national_yearly!$D:$AM, 16, FALSE) / VLOOKUP("electricity|SO2|Premature mortality", US_national_yearly!$D:$AM, 10, FALSE), 1)</f>
        <v>6.4120765529138645E-4</v>
      </c>
      <c r="I2" s="7">
        <f>$B2 * IFERROR(VLOOKUP("electricity|SO2|Premature mortality", US_national_yearly!$D:$AM, 17, FALSE) / VLOOKUP("electricity|SO2|Premature mortality", US_national_yearly!$D:$AM, 10, FALSE), 1)</f>
        <v>6.5089236128403885E-4</v>
      </c>
      <c r="J2" s="7">
        <f>$B2 * IFERROR(VLOOKUP("electricity|SO2|Premature mortality", US_national_yearly!$D:$AM, 18, FALSE) / VLOOKUP("electricity|SO2|Premature mortality", US_national_yearly!$D:$AM, 10, FALSE), 1)</f>
        <v>6.6057706727669135E-4</v>
      </c>
      <c r="K2" s="7">
        <f>$B2 * IFERROR(VLOOKUP("electricity|SO2|Premature mortality", US_national_yearly!$D:$AM, 19, FALSE) / VLOOKUP("electricity|SO2|Premature mortality", US_national_yearly!$D:$AM, 10, FALSE), 1)</f>
        <v>6.7026177326934364E-4</v>
      </c>
      <c r="L2" s="7">
        <f>$B2 * IFERROR(VLOOKUP("electricity|SO2|Premature mortality", US_national_yearly!$D:$AM, 20, FALSE) / VLOOKUP("electricity|SO2|Premature mortality", US_national_yearly!$D:$AM, 10, FALSE), 1)</f>
        <v>6.7994647926199626E-4</v>
      </c>
      <c r="M2" s="7">
        <f>$B2 * IFERROR(VLOOKUP("electricity|SO2|Premature mortality", US_national_yearly!$D:$AM, 21, FALSE) / VLOOKUP("electricity|SO2|Premature mortality", US_national_yearly!$D:$AM, 10, FALSE), 1)</f>
        <v>6.8963118525464866E-4</v>
      </c>
      <c r="N2" s="7">
        <f>$B2 * IFERROR(VLOOKUP("electricity|SO2|Premature mortality", US_national_yearly!$D:$AM, 22, FALSE) / VLOOKUP("electricity|SO2|Premature mortality", US_national_yearly!$D:$AM, 10, FALSE), 1)</f>
        <v>6.973927051944687E-4</v>
      </c>
      <c r="O2" s="7">
        <f>$B2 * IFERROR(VLOOKUP("electricity|SO2|Premature mortality", US_national_yearly!$D:$AM, 23, FALSE) / VLOOKUP("electricity|SO2|Premature mortality", US_national_yearly!$D:$AM, 10, FALSE), 1)</f>
        <v>7.0515422513428886E-4</v>
      </c>
      <c r="P2" s="7">
        <f>$B2 * IFERROR(VLOOKUP("electricity|SO2|Premature mortality", US_national_yearly!$D:$AM, 24, FALSE) / VLOOKUP("electricity|SO2|Premature mortality", US_national_yearly!$D:$AM, 10, FALSE), 1)</f>
        <v>7.129157450741088E-4</v>
      </c>
      <c r="Q2" s="7">
        <f>$B2 * IFERROR(VLOOKUP("electricity|SO2|Premature mortality", US_national_yearly!$D:$AM, 25, FALSE) / VLOOKUP("electricity|SO2|Premature mortality", US_national_yearly!$D:$AM, 10, FALSE), 1)</f>
        <v>7.2067726501392885E-4</v>
      </c>
      <c r="R2" s="7">
        <f>$B2 * IFERROR(VLOOKUP("electricity|SO2|Premature mortality", US_national_yearly!$D:$AM, 26, FALSE) / VLOOKUP("electricity|SO2|Premature mortality", US_national_yearly!$D:$AM, 10, FALSE), 1)</f>
        <v>7.284387849537489E-4</v>
      </c>
      <c r="S2" s="7">
        <f>$B2 * IFERROR(VLOOKUP("electricity|SO2|Premature mortality", US_national_yearly!$D:$AM, 27, FALSE) / VLOOKUP("electricity|SO2|Premature mortality", US_national_yearly!$D:$AM, 10, FALSE), 1)</f>
        <v>7.3288869104571794E-4</v>
      </c>
      <c r="T2" s="7">
        <f>$B2 * IFERROR(VLOOKUP("electricity|SO2|Premature mortality", US_national_yearly!$D:$AM, 28, FALSE) / VLOOKUP("electricity|SO2|Premature mortality", US_national_yearly!$D:$AM, 10, FALSE), 1)</f>
        <v>7.373385971376871E-4</v>
      </c>
      <c r="U2" s="7">
        <f>$B2 * IFERROR(VLOOKUP("electricity|SO2|Premature mortality", US_national_yearly!$D:$AM, 29, FALSE) / VLOOKUP("electricity|SO2|Premature mortality", US_national_yearly!$D:$AM, 10, FALSE), 1)</f>
        <v>7.4178850322965625E-4</v>
      </c>
      <c r="V2" s="7">
        <f>$B2 * IFERROR(VLOOKUP("electricity|SO2|Premature mortality", US_national_yearly!$D:$AM, 30, FALSE) / VLOOKUP("electricity|SO2|Premature mortality", US_national_yearly!$D:$AM, 10, FALSE), 1)</f>
        <v>7.462384093216254E-4</v>
      </c>
      <c r="W2" s="7">
        <f>$B2 * IFERROR(VLOOKUP("electricity|SO2|Premature mortality", US_national_yearly!$D:$AM, 31, FALSE) / VLOOKUP("electricity|SO2|Premature mortality", US_national_yearly!$D:$AM, 10, FALSE), 1)</f>
        <v>7.5068831541359445E-4</v>
      </c>
      <c r="X2" s="7">
        <f>$B2 * IFERROR(VLOOKUP("electricity|SO2|Premature mortality", US_national_yearly!$D:$AM, 32, FALSE) / VLOOKUP("electricity|SO2|Premature mortality", US_national_yearly!$D:$AM, 10, FALSE), 1)</f>
        <v>7.5199946096819216E-4</v>
      </c>
      <c r="Y2" s="7">
        <f>$B2 * IFERROR(VLOOKUP("electricity|SO2|Premature mortality", US_national_yearly!$D:$AM, 33, FALSE) / VLOOKUP("electricity|SO2|Premature mortality", US_national_yearly!$D:$AM, 10, FALSE), 1)</f>
        <v>7.5331060652278977E-4</v>
      </c>
      <c r="Z2" s="7">
        <f>$B2 * IFERROR(VLOOKUP("electricity|SO2|Premature mortality", US_national_yearly!$D:$AM, 34, FALSE) / VLOOKUP("electricity|SO2|Premature mortality", US_national_yearly!$D:$AM, 10, FALSE), 1)</f>
        <v>7.5462175207738737E-4</v>
      </c>
      <c r="AA2" s="7">
        <f>$B2 * IFERROR(VLOOKUP("electricity|SO2|Premature mortality", US_national_yearly!$D:$AM, 35, FALSE) / VLOOKUP("electricity|SO2|Premature mortality", US_national_yearly!$D:$AM, 10, FALSE), 1)</f>
        <v>7.5593289763198508E-4</v>
      </c>
      <c r="AB2" s="7">
        <f>$B2 * IFERROR(VLOOKUP("electricity|SO2|Premature mortality", US_national_yearly!$D:$AM, 36, FALSE) / VLOOKUP("electricity|SO2|Premature mortality", US_national_yearly!$D:$AM, 10, FALSE), 1)</f>
        <v>7.5724404318658269E-4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1.1438029357003592E-6</v>
      </c>
      <c r="C3" s="7">
        <f>$B3 * IFERROR(VLOOKUP("electricity|SO2|Infant mortality", US_national_yearly!$D:$AM, 11, FALSE) / VLOOKUP("electricity|SO2|Infant mortality", US_national_yearly!$D:$AM, 10, FALSE), 1)</f>
        <v>1.1341399756809371E-6</v>
      </c>
      <c r="D3" s="7">
        <f>$B3 * IFERROR(VLOOKUP("electricity|SO2|Infant mortality", US_national_yearly!$D:$AM, 12, FALSE) / VLOOKUP("electricity|SO2|Infant mortality", US_national_yearly!$D:$AM, 10, FALSE), 1)</f>
        <v>1.1244770156615149E-6</v>
      </c>
      <c r="E3" s="7">
        <f>$B3 * IFERROR(VLOOKUP("electricity|SO2|Infant mortality", US_national_yearly!$D:$AM, 13, FALSE) / VLOOKUP("electricity|SO2|Infant mortality", US_national_yearly!$D:$AM, 10, FALSE), 1)</f>
        <v>1.1148140556420924E-6</v>
      </c>
      <c r="F3" s="7">
        <f>$B3 * IFERROR(VLOOKUP("electricity|SO2|Infant mortality", US_national_yearly!$D:$AM, 14, FALSE) / VLOOKUP("electricity|SO2|Infant mortality", US_national_yearly!$D:$AM, 10, FALSE), 1)</f>
        <v>1.1051510956226706E-6</v>
      </c>
      <c r="G3" s="7">
        <f>$B3 * IFERROR(VLOOKUP("electricity|SO2|Infant mortality", US_national_yearly!$D:$AM, 15, FALSE) / VLOOKUP("electricity|SO2|Infant mortality", US_national_yearly!$D:$AM, 10, FALSE), 1)</f>
        <v>7.34982726815799E-7</v>
      </c>
      <c r="H3" s="7">
        <f>$B3 * IFERROR(VLOOKUP("electricity|SO2|Infant mortality", US_national_yearly!$D:$AM, 16, FALSE) / VLOOKUP("electricity|SO2|Infant mortality", US_national_yearly!$D:$AM, 10, FALSE), 1)</f>
        <v>3.6481435800892744E-7</v>
      </c>
      <c r="I3" s="7">
        <f>$B3 * IFERROR(VLOOKUP("electricity|SO2|Infant mortality", US_national_yearly!$D:$AM, 17, FALSE) / VLOOKUP("electricity|SO2|Infant mortality", US_national_yearly!$D:$AM, 10, FALSE), 1)</f>
        <v>3.6248046521653221E-7</v>
      </c>
      <c r="J3" s="7">
        <f>$B3 * IFERROR(VLOOKUP("electricity|SO2|Infant mortality", US_national_yearly!$D:$AM, 18, FALSE) / VLOOKUP("electricity|SO2|Infant mortality", US_national_yearly!$D:$AM, 10, FALSE), 1)</f>
        <v>3.6014657242413688E-7</v>
      </c>
      <c r="K3" s="7">
        <f>$B3 * IFERROR(VLOOKUP("electricity|SO2|Infant mortality", US_national_yearly!$D:$AM, 19, FALSE) / VLOOKUP("electricity|SO2|Infant mortality", US_national_yearly!$D:$AM, 10, FALSE), 1)</f>
        <v>3.5781267963174171E-7</v>
      </c>
      <c r="L3" s="7">
        <f>$B3 * IFERROR(VLOOKUP("electricity|SO2|Infant mortality", US_national_yearly!$D:$AM, 20, FALSE) / VLOOKUP("electricity|SO2|Infant mortality", US_national_yearly!$D:$AM, 10, FALSE), 1)</f>
        <v>3.5547878683934644E-7</v>
      </c>
      <c r="M3" s="7">
        <f>$B3 * IFERROR(VLOOKUP("electricity|SO2|Infant mortality", US_national_yearly!$D:$AM, 21, FALSE) / VLOOKUP("electricity|SO2|Infant mortality", US_national_yearly!$D:$AM, 10, FALSE), 1)</f>
        <v>3.5314489404695116E-7</v>
      </c>
      <c r="N3" s="7">
        <f>$B3 * IFERROR(VLOOKUP("electricity|SO2|Infant mortality", US_national_yearly!$D:$AM, 22, FALSE) / VLOOKUP("electricity|SO2|Infant mortality", US_national_yearly!$D:$AM, 10, FALSE), 1)</f>
        <v>3.5166603615182917E-7</v>
      </c>
      <c r="O3" s="7">
        <f>$B3 * IFERROR(VLOOKUP("electricity|SO2|Infant mortality", US_national_yearly!$D:$AM, 23, FALSE) / VLOOKUP("electricity|SO2|Infant mortality", US_national_yearly!$D:$AM, 10, FALSE), 1)</f>
        <v>3.5018717825670707E-7</v>
      </c>
      <c r="P3" s="7">
        <f>$B3 * IFERROR(VLOOKUP("electricity|SO2|Infant mortality", US_national_yearly!$D:$AM, 24, FALSE) / VLOOKUP("electricity|SO2|Infant mortality", US_national_yearly!$D:$AM, 10, FALSE), 1)</f>
        <v>3.4870832036158497E-7</v>
      </c>
      <c r="Q3" s="7">
        <f>$B3 * IFERROR(VLOOKUP("electricity|SO2|Infant mortality", US_national_yearly!$D:$AM, 25, FALSE) / VLOOKUP("electricity|SO2|Infant mortality", US_national_yearly!$D:$AM, 10, FALSE), 1)</f>
        <v>3.4722946246646298E-7</v>
      </c>
      <c r="R3" s="7">
        <f>$B3 * IFERROR(VLOOKUP("electricity|SO2|Infant mortality", US_national_yearly!$D:$AM, 26, FALSE) / VLOOKUP("electricity|SO2|Infant mortality", US_national_yearly!$D:$AM, 10, FALSE), 1)</f>
        <v>3.4575060457134093E-7</v>
      </c>
      <c r="S3" s="7">
        <f>$B3 * IFERROR(VLOOKUP("electricity|SO2|Infant mortality", US_national_yearly!$D:$AM, 27, FALSE) / VLOOKUP("electricity|SO2|Infant mortality", US_national_yearly!$D:$AM, 10, FALSE), 1)</f>
        <v>3.4390739559236396E-7</v>
      </c>
      <c r="T3" s="7">
        <f>$B3 * IFERROR(VLOOKUP("electricity|SO2|Infant mortality", US_national_yearly!$D:$AM, 28, FALSE) / VLOOKUP("electricity|SO2|Infant mortality", US_national_yearly!$D:$AM, 10, FALSE), 1)</f>
        <v>3.4206418661338703E-7</v>
      </c>
      <c r="U3" s="7">
        <f>$B3 * IFERROR(VLOOKUP("electricity|SO2|Infant mortality", US_national_yearly!$D:$AM, 29, FALSE) / VLOOKUP("electricity|SO2|Infant mortality", US_national_yearly!$D:$AM, 10, FALSE), 1)</f>
        <v>3.4022097763441011E-7</v>
      </c>
      <c r="V3" s="7">
        <f>$B3 * IFERROR(VLOOKUP("electricity|SO2|Infant mortality", US_national_yearly!$D:$AM, 30, FALSE) / VLOOKUP("electricity|SO2|Infant mortality", US_national_yearly!$D:$AM, 10, FALSE), 1)</f>
        <v>3.3837776865543319E-7</v>
      </c>
      <c r="W3" s="7">
        <f>$B3 * IFERROR(VLOOKUP("electricity|SO2|Infant mortality", US_national_yearly!$D:$AM, 31, FALSE) / VLOOKUP("electricity|SO2|Infant mortality", US_national_yearly!$D:$AM, 10, FALSE), 1)</f>
        <v>3.3653455967645621E-7</v>
      </c>
      <c r="X3" s="7">
        <f>$B3 * IFERROR(VLOOKUP("electricity|SO2|Infant mortality", US_national_yearly!$D:$AM, 32, FALSE) / VLOOKUP("electricity|SO2|Infant mortality", US_national_yearly!$D:$AM, 10, FALSE), 1)</f>
        <v>3.3456790967226644E-7</v>
      </c>
      <c r="Y3" s="7">
        <f>$B3 * IFERROR(VLOOKUP("electricity|SO2|Infant mortality", US_national_yearly!$D:$AM, 33, FALSE) / VLOOKUP("electricity|SO2|Infant mortality", US_national_yearly!$D:$AM, 10, FALSE), 1)</f>
        <v>3.326012596680765E-7</v>
      </c>
      <c r="Z3" s="7">
        <f>$B3 * IFERROR(VLOOKUP("electricity|SO2|Infant mortality", US_national_yearly!$D:$AM, 34, FALSE) / VLOOKUP("electricity|SO2|Infant mortality", US_national_yearly!$D:$AM, 10, FALSE), 1)</f>
        <v>3.3063460966388672E-7</v>
      </c>
      <c r="AA3" s="7">
        <f>$B3 * IFERROR(VLOOKUP("electricity|SO2|Infant mortality", US_national_yearly!$D:$AM, 35, FALSE) / VLOOKUP("electricity|SO2|Infant mortality", US_national_yearly!$D:$AM, 10, FALSE), 1)</f>
        <v>3.2866795965969695E-7</v>
      </c>
      <c r="AB3" s="7">
        <f>$B3 * IFERROR(VLOOKUP("electricity|SO2|Infant mortality", US_national_yearly!$D:$AM, 36, FALSE) / VLOOKUP("electricity|SO2|Infant mortality", US_national_yearly!$D:$AM, 10, FALSE), 1)</f>
        <v>3.2670130965550706E-7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1.482558479557802E-3</v>
      </c>
      <c r="C6" s="7">
        <f>$B6 * IFERROR(VLOOKUP("electricity|SO2|Asthma symptoms cough", US_national_yearly!$D:$AM, 11, FALSE) / VLOOKUP("electricity|SO2|Asthma symptoms cough", US_national_yearly!$D:$AM, 10, FALSE), 1)</f>
        <v>1.482558479557802E-3</v>
      </c>
      <c r="D6" s="7">
        <f>$B6 * IFERROR(VLOOKUP("electricity|SO2|Asthma symptoms cough", US_national_yearly!$D:$AM, 12, FALSE) / VLOOKUP("electricity|SO2|Asthma symptoms cough", US_national_yearly!$D:$AM, 10, FALSE), 1)</f>
        <v>1.482558479557802E-3</v>
      </c>
      <c r="E6" s="7">
        <f>$B6 * IFERROR(VLOOKUP("electricity|SO2|Asthma symptoms cough", US_national_yearly!$D:$AM, 13, FALSE) / VLOOKUP("electricity|SO2|Asthma symptoms cough", US_national_yearly!$D:$AM, 10, FALSE), 1)</f>
        <v>1.482558479557802E-3</v>
      </c>
      <c r="F6" s="7">
        <f>$B6 * IFERROR(VLOOKUP("electricity|SO2|Asthma symptoms cough", US_national_yearly!$D:$AM, 14, FALSE) / VLOOKUP("electricity|SO2|Asthma symptoms cough", US_national_yearly!$D:$AM, 10, FALSE), 1)</f>
        <v>1.482558479557802E-3</v>
      </c>
      <c r="G6" s="7">
        <f>$B6 * IFERROR(VLOOKUP("electricity|SO2|Asthma symptoms cough", US_national_yearly!$D:$AM, 15, FALSE) / VLOOKUP("electricity|SO2|Asthma symptoms cough", US_national_yearly!$D:$AM, 10, FALSE), 1)</f>
        <v>1.482558479557802E-3</v>
      </c>
      <c r="H6" s="7">
        <f>$B6 * IFERROR(VLOOKUP("electricity|SO2|Asthma symptoms cough", US_national_yearly!$D:$AM, 16, FALSE) / VLOOKUP("electricity|SO2|Asthma symptoms cough", US_national_yearly!$D:$AM, 10, FALSE), 1)</f>
        <v>1.482558479557802E-3</v>
      </c>
      <c r="I6" s="7">
        <f>$B6 * IFERROR(VLOOKUP("electricity|SO2|Asthma symptoms cough", US_national_yearly!$D:$AM, 17, FALSE) / VLOOKUP("electricity|SO2|Asthma symptoms cough", US_national_yearly!$D:$AM, 10, FALSE), 1)</f>
        <v>1.482558479557802E-3</v>
      </c>
      <c r="J6" s="7">
        <f>$B6 * IFERROR(VLOOKUP("electricity|SO2|Asthma symptoms cough", US_national_yearly!$D:$AM, 18, FALSE) / VLOOKUP("electricity|SO2|Asthma symptoms cough", US_national_yearly!$D:$AM, 10, FALSE), 1)</f>
        <v>1.482558479557802E-3</v>
      </c>
      <c r="K6" s="7">
        <f>$B6 * IFERROR(VLOOKUP("electricity|SO2|Asthma symptoms cough", US_national_yearly!$D:$AM, 19, FALSE) / VLOOKUP("electricity|SO2|Asthma symptoms cough", US_national_yearly!$D:$AM, 10, FALSE), 1)</f>
        <v>1.482558479557802E-3</v>
      </c>
      <c r="L6" s="7">
        <f>$B6 * IFERROR(VLOOKUP("electricity|SO2|Asthma symptoms cough", US_national_yearly!$D:$AM, 20, FALSE) / VLOOKUP("electricity|SO2|Asthma symptoms cough", US_national_yearly!$D:$AM, 10, FALSE), 1)</f>
        <v>1.482558479557802E-3</v>
      </c>
      <c r="M6" s="7">
        <f>$B6 * IFERROR(VLOOKUP("electricity|SO2|Asthma symptoms cough", US_national_yearly!$D:$AM, 21, FALSE) / VLOOKUP("electricity|SO2|Asthma symptoms cough", US_national_yearly!$D:$AM, 10, FALSE), 1)</f>
        <v>1.482558479557802E-3</v>
      </c>
      <c r="N6" s="7">
        <f>$B6 * IFERROR(VLOOKUP("electricity|SO2|Asthma symptoms cough", US_national_yearly!$D:$AM, 22, FALSE) / VLOOKUP("electricity|SO2|Asthma symptoms cough", US_national_yearly!$D:$AM, 10, FALSE), 1)</f>
        <v>1.482558479557802E-3</v>
      </c>
      <c r="O6" s="7">
        <f>$B6 * IFERROR(VLOOKUP("electricity|SO2|Asthma symptoms cough", US_national_yearly!$D:$AM, 23, FALSE) / VLOOKUP("electricity|SO2|Asthma symptoms cough", US_national_yearly!$D:$AM, 10, FALSE), 1)</f>
        <v>1.482558479557802E-3</v>
      </c>
      <c r="P6" s="7">
        <f>$B6 * IFERROR(VLOOKUP("electricity|SO2|Asthma symptoms cough", US_national_yearly!$D:$AM, 24, FALSE) / VLOOKUP("electricity|SO2|Asthma symptoms cough", US_national_yearly!$D:$AM, 10, FALSE), 1)</f>
        <v>1.482558479557802E-3</v>
      </c>
      <c r="Q6" s="7">
        <f>$B6 * IFERROR(VLOOKUP("electricity|SO2|Asthma symptoms cough", US_national_yearly!$D:$AM, 25, FALSE) / VLOOKUP("electricity|SO2|Asthma symptoms cough", US_national_yearly!$D:$AM, 10, FALSE), 1)</f>
        <v>1.482558479557802E-3</v>
      </c>
      <c r="R6" s="7">
        <f>$B6 * IFERROR(VLOOKUP("electricity|SO2|Asthma symptoms cough", US_national_yearly!$D:$AM, 26, FALSE) / VLOOKUP("electricity|SO2|Asthma symptoms cough", US_national_yearly!$D:$AM, 10, FALSE), 1)</f>
        <v>1.482558479557802E-3</v>
      </c>
      <c r="S6" s="7">
        <f>$B6 * IFERROR(VLOOKUP("electricity|SO2|Asthma symptoms cough", US_national_yearly!$D:$AM, 27, FALSE) / VLOOKUP("electricity|SO2|Asthma symptoms cough", US_national_yearly!$D:$AM, 10, FALSE), 1)</f>
        <v>1.482558479557802E-3</v>
      </c>
      <c r="T6" s="7">
        <f>$B6 * IFERROR(VLOOKUP("electricity|SO2|Asthma symptoms cough", US_national_yearly!$D:$AM, 28, FALSE) / VLOOKUP("electricity|SO2|Asthma symptoms cough", US_national_yearly!$D:$AM, 10, FALSE), 1)</f>
        <v>1.482558479557802E-3</v>
      </c>
      <c r="U6" s="7">
        <f>$B6 * IFERROR(VLOOKUP("electricity|SO2|Asthma symptoms cough", US_national_yearly!$D:$AM, 29, FALSE) / VLOOKUP("electricity|SO2|Asthma symptoms cough", US_national_yearly!$D:$AM, 10, FALSE), 1)</f>
        <v>1.482558479557802E-3</v>
      </c>
      <c r="V6" s="7">
        <f>$B6 * IFERROR(VLOOKUP("electricity|SO2|Asthma symptoms cough", US_national_yearly!$D:$AM, 30, FALSE) / VLOOKUP("electricity|SO2|Asthma symptoms cough", US_national_yearly!$D:$AM, 10, FALSE), 1)</f>
        <v>1.482558479557802E-3</v>
      </c>
      <c r="W6" s="7">
        <f>$B6 * IFERROR(VLOOKUP("electricity|SO2|Asthma symptoms cough", US_national_yearly!$D:$AM, 31, FALSE) / VLOOKUP("electricity|SO2|Asthma symptoms cough", US_national_yearly!$D:$AM, 10, FALSE), 1)</f>
        <v>1.482558479557802E-3</v>
      </c>
      <c r="X6" s="7">
        <f>$B6 * IFERROR(VLOOKUP("electricity|SO2|Asthma symptoms cough", US_national_yearly!$D:$AM, 32, FALSE) / VLOOKUP("electricity|SO2|Asthma symptoms cough", US_national_yearly!$D:$AM, 10, FALSE), 1)</f>
        <v>1.482558479557802E-3</v>
      </c>
      <c r="Y6" s="7">
        <f>$B6 * IFERROR(VLOOKUP("electricity|SO2|Asthma symptoms cough", US_national_yearly!$D:$AM, 33, FALSE) / VLOOKUP("electricity|SO2|Asthma symptoms cough", US_national_yearly!$D:$AM, 10, FALSE), 1)</f>
        <v>1.482558479557802E-3</v>
      </c>
      <c r="Z6" s="7">
        <f>$B6 * IFERROR(VLOOKUP("electricity|SO2|Asthma symptoms cough", US_national_yearly!$D:$AM, 34, FALSE) / VLOOKUP("electricity|SO2|Asthma symptoms cough", US_national_yearly!$D:$AM, 10, FALSE), 1)</f>
        <v>1.482558479557802E-3</v>
      </c>
      <c r="AA6" s="7">
        <f>$B6 * IFERROR(VLOOKUP("electricity|SO2|Asthma symptoms cough", US_national_yearly!$D:$AM, 35, FALSE) / VLOOKUP("electricity|SO2|Asthma symptoms cough", US_national_yearly!$D:$AM, 10, FALSE), 1)</f>
        <v>1.482558479557802E-3</v>
      </c>
      <c r="AB6" s="7">
        <f>$B6 * IFERROR(VLOOKUP("electricity|SO2|Asthma symptoms cough", US_national_yearly!$D:$AM, 36, FALSE) / VLOOKUP("electricity|SO2|Asthma symptoms cough", US_national_yearly!$D:$AM, 10, FALSE), 1)</f>
        <v>1.482558479557802E-3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1.996471234826679E-3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1.996471234826679E-3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1.996471234826679E-3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1.996471234826679E-3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1.996471234826679E-3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1.996471234826679E-3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1.996471234826679E-3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1.996471234826679E-3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1.996471234826679E-3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1.996471234826679E-3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1.996471234826679E-3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1.996471234826679E-3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1.996471234826679E-3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1.996471234826679E-3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1.996471234826679E-3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1.996471234826679E-3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1.996471234826679E-3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1.996471234826679E-3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1.996471234826679E-3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1.996471234826679E-3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1.996471234826679E-3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1.996471234826679E-3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1.996471234826679E-3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1.996471234826679E-3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1.996471234826679E-3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1.996471234826679E-3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1.996471234826679E-3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3.0503013772312814E-3</v>
      </c>
      <c r="C8" s="7">
        <f>$B8 * IFERROR(VLOOKUP("electricity|SO2|Asthma symptoms wheeze", US_national_yearly!$D:$AM, 11, FALSE) / VLOOKUP("electricity|SO2|Asthma symptoms wheeze", US_national_yearly!$D:$AM, 10, FALSE), 1)</f>
        <v>3.0503013772312814E-3</v>
      </c>
      <c r="D8" s="7">
        <f>$B8 * IFERROR(VLOOKUP("electricity|SO2|Asthma symptoms wheeze", US_national_yearly!$D:$AM, 12, FALSE) / VLOOKUP("electricity|SO2|Asthma symptoms wheeze", US_national_yearly!$D:$AM, 10, FALSE), 1)</f>
        <v>3.0503013772312814E-3</v>
      </c>
      <c r="E8" s="7">
        <f>$B8 * IFERROR(VLOOKUP("electricity|SO2|Asthma symptoms wheeze", US_national_yearly!$D:$AM, 13, FALSE) / VLOOKUP("electricity|SO2|Asthma symptoms wheeze", US_national_yearly!$D:$AM, 10, FALSE), 1)</f>
        <v>3.0503013772312814E-3</v>
      </c>
      <c r="F8" s="7">
        <f>$B8 * IFERROR(VLOOKUP("electricity|SO2|Asthma symptoms wheeze", US_national_yearly!$D:$AM, 14, FALSE) / VLOOKUP("electricity|SO2|Asthma symptoms wheeze", US_national_yearly!$D:$AM, 10, FALSE), 1)</f>
        <v>3.0503013772312814E-3</v>
      </c>
      <c r="G8" s="7">
        <f>$B8 * IFERROR(VLOOKUP("electricity|SO2|Asthma symptoms wheeze", US_national_yearly!$D:$AM, 15, FALSE) / VLOOKUP("electricity|SO2|Asthma symptoms wheeze", US_national_yearly!$D:$AM, 10, FALSE), 1)</f>
        <v>3.0503013772312814E-3</v>
      </c>
      <c r="H8" s="7">
        <f>$B8 * IFERROR(VLOOKUP("electricity|SO2|Asthma symptoms wheeze", US_national_yearly!$D:$AM, 16, FALSE) / VLOOKUP("electricity|SO2|Asthma symptoms wheeze", US_national_yearly!$D:$AM, 10, FALSE), 1)</f>
        <v>3.0503013772312814E-3</v>
      </c>
      <c r="I8" s="7">
        <f>$B8 * IFERROR(VLOOKUP("electricity|SO2|Asthma symptoms wheeze", US_national_yearly!$D:$AM, 17, FALSE) / VLOOKUP("electricity|SO2|Asthma symptoms wheeze", US_national_yearly!$D:$AM, 10, FALSE), 1)</f>
        <v>3.0503013772312814E-3</v>
      </c>
      <c r="J8" s="7">
        <f>$B8 * IFERROR(VLOOKUP("electricity|SO2|Asthma symptoms wheeze", US_national_yearly!$D:$AM, 18, FALSE) / VLOOKUP("electricity|SO2|Asthma symptoms wheeze", US_national_yearly!$D:$AM, 10, FALSE), 1)</f>
        <v>3.0503013772312814E-3</v>
      </c>
      <c r="K8" s="7">
        <f>$B8 * IFERROR(VLOOKUP("electricity|SO2|Asthma symptoms wheeze", US_national_yearly!$D:$AM, 19, FALSE) / VLOOKUP("electricity|SO2|Asthma symptoms wheeze", US_national_yearly!$D:$AM, 10, FALSE), 1)</f>
        <v>3.0503013772312814E-3</v>
      </c>
      <c r="L8" s="7">
        <f>$B8 * IFERROR(VLOOKUP("electricity|SO2|Asthma symptoms wheeze", US_national_yearly!$D:$AM, 20, FALSE) / VLOOKUP("electricity|SO2|Asthma symptoms wheeze", US_national_yearly!$D:$AM, 10, FALSE), 1)</f>
        <v>3.0503013772312814E-3</v>
      </c>
      <c r="M8" s="7">
        <f>$B8 * IFERROR(VLOOKUP("electricity|SO2|Asthma symptoms wheeze", US_national_yearly!$D:$AM, 21, FALSE) / VLOOKUP("electricity|SO2|Asthma symptoms wheeze", US_national_yearly!$D:$AM, 10, FALSE), 1)</f>
        <v>3.0503013772312814E-3</v>
      </c>
      <c r="N8" s="7">
        <f>$B8 * IFERROR(VLOOKUP("electricity|SO2|Asthma symptoms wheeze", US_national_yearly!$D:$AM, 22, FALSE) / VLOOKUP("electricity|SO2|Asthma symptoms wheeze", US_national_yearly!$D:$AM, 10, FALSE), 1)</f>
        <v>3.0503013772312814E-3</v>
      </c>
      <c r="O8" s="7">
        <f>$B8 * IFERROR(VLOOKUP("electricity|SO2|Asthma symptoms wheeze", US_national_yearly!$D:$AM, 23, FALSE) / VLOOKUP("electricity|SO2|Asthma symptoms wheeze", US_national_yearly!$D:$AM, 10, FALSE), 1)</f>
        <v>3.0503013772312814E-3</v>
      </c>
      <c r="P8" s="7">
        <f>$B8 * IFERROR(VLOOKUP("electricity|SO2|Asthma symptoms wheeze", US_national_yearly!$D:$AM, 24, FALSE) / VLOOKUP("electricity|SO2|Asthma symptoms wheeze", US_national_yearly!$D:$AM, 10, FALSE), 1)</f>
        <v>3.0503013772312814E-3</v>
      </c>
      <c r="Q8" s="7">
        <f>$B8 * IFERROR(VLOOKUP("electricity|SO2|Asthma symptoms wheeze", US_national_yearly!$D:$AM, 25, FALSE) / VLOOKUP("electricity|SO2|Asthma symptoms wheeze", US_national_yearly!$D:$AM, 10, FALSE), 1)</f>
        <v>3.0503013772312814E-3</v>
      </c>
      <c r="R8" s="7">
        <f>$B8 * IFERROR(VLOOKUP("electricity|SO2|Asthma symptoms wheeze", US_national_yearly!$D:$AM, 26, FALSE) / VLOOKUP("electricity|SO2|Asthma symptoms wheeze", US_national_yearly!$D:$AM, 10, FALSE), 1)</f>
        <v>3.0503013772312814E-3</v>
      </c>
      <c r="S8" s="7">
        <f>$B8 * IFERROR(VLOOKUP("electricity|SO2|Asthma symptoms wheeze", US_national_yearly!$D:$AM, 27, FALSE) / VLOOKUP("electricity|SO2|Asthma symptoms wheeze", US_national_yearly!$D:$AM, 10, FALSE), 1)</f>
        <v>3.0503013772312814E-3</v>
      </c>
      <c r="T8" s="7">
        <f>$B8 * IFERROR(VLOOKUP("electricity|SO2|Asthma symptoms wheeze", US_national_yearly!$D:$AM, 28, FALSE) / VLOOKUP("electricity|SO2|Asthma symptoms wheeze", US_national_yearly!$D:$AM, 10, FALSE), 1)</f>
        <v>3.0503013772312814E-3</v>
      </c>
      <c r="U8" s="7">
        <f>$B8 * IFERROR(VLOOKUP("electricity|SO2|Asthma symptoms wheeze", US_national_yearly!$D:$AM, 29, FALSE) / VLOOKUP("electricity|SO2|Asthma symptoms wheeze", US_national_yearly!$D:$AM, 10, FALSE), 1)</f>
        <v>3.0503013772312814E-3</v>
      </c>
      <c r="V8" s="7">
        <f>$B8 * IFERROR(VLOOKUP("electricity|SO2|Asthma symptoms wheeze", US_national_yearly!$D:$AM, 30, FALSE) / VLOOKUP("electricity|SO2|Asthma symptoms wheeze", US_national_yearly!$D:$AM, 10, FALSE), 1)</f>
        <v>3.0503013772312814E-3</v>
      </c>
      <c r="W8" s="7">
        <f>$B8 * IFERROR(VLOOKUP("electricity|SO2|Asthma symptoms wheeze", US_national_yearly!$D:$AM, 31, FALSE) / VLOOKUP("electricity|SO2|Asthma symptoms wheeze", US_national_yearly!$D:$AM, 10, FALSE), 1)</f>
        <v>3.0503013772312814E-3</v>
      </c>
      <c r="X8" s="7">
        <f>$B8 * IFERROR(VLOOKUP("electricity|SO2|Asthma symptoms wheeze", US_national_yearly!$D:$AM, 32, FALSE) / VLOOKUP("electricity|SO2|Asthma symptoms wheeze", US_national_yearly!$D:$AM, 10, FALSE), 1)</f>
        <v>3.0503013772312814E-3</v>
      </c>
      <c r="Y8" s="7">
        <f>$B8 * IFERROR(VLOOKUP("electricity|SO2|Asthma symptoms wheeze", US_national_yearly!$D:$AM, 33, FALSE) / VLOOKUP("electricity|SO2|Asthma symptoms wheeze", US_national_yearly!$D:$AM, 10, FALSE), 1)</f>
        <v>3.0503013772312814E-3</v>
      </c>
      <c r="Z8" s="7">
        <f>$B8 * IFERROR(VLOOKUP("electricity|SO2|Asthma symptoms wheeze", US_national_yearly!$D:$AM, 34, FALSE) / VLOOKUP("electricity|SO2|Asthma symptoms wheeze", US_national_yearly!$D:$AM, 10, FALSE), 1)</f>
        <v>3.0503013772312814E-3</v>
      </c>
      <c r="AA8" s="7">
        <f>$B8 * IFERROR(VLOOKUP("electricity|SO2|Asthma symptoms wheeze", US_national_yearly!$D:$AM, 35, FALSE) / VLOOKUP("electricity|SO2|Asthma symptoms wheeze", US_national_yearly!$D:$AM, 10, FALSE), 1)</f>
        <v>3.0503013772312814E-3</v>
      </c>
      <c r="AB8" s="7">
        <f>$B8 * IFERROR(VLOOKUP("electricity|SO2|Asthma symptoms wheeze", US_national_yearly!$D:$AM, 36, FALSE) / VLOOKUP("electricity|SO2|Asthma symptoms wheeze", US_national_yearly!$D:$AM, 10, FALSE), 1)</f>
        <v>3.0503013772312814E-3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5.0510185747844646E-5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5.080767209946395E-5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5.1105158451083268E-5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5.1402644802702579E-5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5.1700131154321896E-5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5.2024300711837276E-5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5.2348470269352662E-5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5.2660326121165934E-5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5.297218197297922E-5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5.3284037824792499E-5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5.3595893676605772E-5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5.3907749528419058E-5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5.4131431382094821E-5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5.4355113235770597E-5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5.457879508944636E-5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5.480247694312213E-5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5.5026158796797907E-5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5.5237281540885298E-5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5.5448404284972695E-5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5.5659527029060086E-5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5.5870649773147491E-5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5.6081772517234888E-5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5.628430825346736E-5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5.6486843989699852E-5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5.6689379725932344E-5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5.6891915462164816E-5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5.7094451198397315E-5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2.3942724469221772E-4</v>
      </c>
      <c r="C13" s="7">
        <f>$B13 * IFERROR(VLOOKUP("electricity|SO2|Non-fatal heart attacks", US_national_yearly!$D:$AM, 11, FALSE) / VLOOKUP("electricity|SO2|Non-fatal heart attacks", US_national_yearly!$D:$AM, 10, FALSE), 1)</f>
        <v>2.4647971054259137E-4</v>
      </c>
      <c r="D13" s="7">
        <f>$B13 * IFERROR(VLOOKUP("electricity|SO2|Non-fatal heart attacks", US_national_yearly!$D:$AM, 12, FALSE) / VLOOKUP("electricity|SO2|Non-fatal heart attacks", US_national_yearly!$D:$AM, 10, FALSE), 1)</f>
        <v>2.535321763929649E-4</v>
      </c>
      <c r="E13" s="7">
        <f>$B13 * IFERROR(VLOOKUP("electricity|SO2|Non-fatal heart attacks", US_national_yearly!$D:$AM, 13, FALSE) / VLOOKUP("electricity|SO2|Non-fatal heart attacks", US_national_yearly!$D:$AM, 10, FALSE), 1)</f>
        <v>2.6058464224333855E-4</v>
      </c>
      <c r="F13" s="7">
        <f>$B13 * IFERROR(VLOOKUP("electricity|SO2|Non-fatal heart attacks", US_national_yearly!$D:$AM, 14, FALSE) / VLOOKUP("electricity|SO2|Non-fatal heart attacks", US_national_yearly!$D:$AM, 10, FALSE), 1)</f>
        <v>2.6763710809371214E-4</v>
      </c>
      <c r="G13" s="7">
        <f>$B13 * IFERROR(VLOOKUP("electricity|SO2|Non-fatal heart attacks", US_national_yearly!$D:$AM, 15, FALSE) / VLOOKUP("electricity|SO2|Non-fatal heart attacks", US_national_yearly!$D:$AM, 10, FALSE), 1)</f>
        <v>2.7433010978129873E-4</v>
      </c>
      <c r="H13" s="7">
        <f>$B13 * IFERROR(VLOOKUP("electricity|SO2|Non-fatal heart attacks", US_national_yearly!$D:$AM, 16, FALSE) / VLOOKUP("electricity|SO2|Non-fatal heart attacks", US_national_yearly!$D:$AM, 10, FALSE), 1)</f>
        <v>2.8102311146888532E-4</v>
      </c>
      <c r="I13" s="7">
        <f>$B13 * IFERROR(VLOOKUP("electricity|SO2|Non-fatal heart attacks", US_national_yearly!$D:$AM, 17, FALSE) / VLOOKUP("electricity|SO2|Non-fatal heart attacks", US_national_yearly!$D:$AM, 10, FALSE), 1)</f>
        <v>2.864737952505897E-4</v>
      </c>
      <c r="J13" s="7">
        <f>$B13 * IFERROR(VLOOKUP("electricity|SO2|Non-fatal heart attacks", US_national_yearly!$D:$AM, 18, FALSE) / VLOOKUP("electricity|SO2|Non-fatal heart attacks", US_national_yearly!$D:$AM, 10, FALSE), 1)</f>
        <v>2.9192447903229402E-4</v>
      </c>
      <c r="K13" s="7">
        <f>$B13 * IFERROR(VLOOKUP("electricity|SO2|Non-fatal heart attacks", US_national_yearly!$D:$AM, 19, FALSE) / VLOOKUP("electricity|SO2|Non-fatal heart attacks", US_national_yearly!$D:$AM, 10, FALSE), 1)</f>
        <v>2.9737516281399835E-4</v>
      </c>
      <c r="L13" s="7">
        <f>$B13 * IFERROR(VLOOKUP("electricity|SO2|Non-fatal heart attacks", US_national_yearly!$D:$AM, 20, FALSE) / VLOOKUP("electricity|SO2|Non-fatal heart attacks", US_national_yearly!$D:$AM, 10, FALSE), 1)</f>
        <v>3.0282584659570267E-4</v>
      </c>
      <c r="M13" s="7">
        <f>$B13 * IFERROR(VLOOKUP("electricity|SO2|Non-fatal heart attacks", US_national_yearly!$D:$AM, 21, FALSE) / VLOOKUP("electricity|SO2|Non-fatal heart attacks", US_national_yearly!$D:$AM, 10, FALSE), 1)</f>
        <v>3.0827653037740699E-4</v>
      </c>
      <c r="N13" s="7">
        <f>$B13 * IFERROR(VLOOKUP("electricity|SO2|Non-fatal heart attacks", US_national_yearly!$D:$AM, 22, FALSE) / VLOOKUP("electricity|SO2|Non-fatal heart attacks", US_national_yearly!$D:$AM, 10, FALSE), 1)</f>
        <v>3.1187099972171623E-4</v>
      </c>
      <c r="O13" s="7">
        <f>$B13 * IFERROR(VLOOKUP("electricity|SO2|Non-fatal heart attacks", US_national_yearly!$D:$AM, 23, FALSE) / VLOOKUP("electricity|SO2|Non-fatal heart attacks", US_national_yearly!$D:$AM, 10, FALSE), 1)</f>
        <v>3.154654690660254E-4</v>
      </c>
      <c r="P13" s="7">
        <f>$B13 * IFERROR(VLOOKUP("electricity|SO2|Non-fatal heart attacks", US_national_yearly!$D:$AM, 24, FALSE) / VLOOKUP("electricity|SO2|Non-fatal heart attacks", US_national_yearly!$D:$AM, 10, FALSE), 1)</f>
        <v>3.1905993841033464E-4</v>
      </c>
      <c r="Q13" s="7">
        <f>$B13 * IFERROR(VLOOKUP("electricity|SO2|Non-fatal heart attacks", US_national_yearly!$D:$AM, 25, FALSE) / VLOOKUP("electricity|SO2|Non-fatal heart attacks", US_national_yearly!$D:$AM, 10, FALSE), 1)</f>
        <v>3.2265440775464387E-4</v>
      </c>
      <c r="R13" s="7">
        <f>$B13 * IFERROR(VLOOKUP("electricity|SO2|Non-fatal heart attacks", US_national_yearly!$D:$AM, 26, FALSE) / VLOOKUP("electricity|SO2|Non-fatal heart attacks", US_national_yearly!$D:$AM, 10, FALSE), 1)</f>
        <v>3.262488770989531E-4</v>
      </c>
      <c r="S13" s="7">
        <f>$B13 * IFERROR(VLOOKUP("electricity|SO2|Non-fatal heart attacks", US_national_yearly!$D:$AM, 27, FALSE) / VLOOKUP("electricity|SO2|Non-fatal heart attacks", US_national_yearly!$D:$AM, 10, FALSE), 1)</f>
        <v>3.2820490177844902E-4</v>
      </c>
      <c r="T13" s="7">
        <f>$B13 * IFERROR(VLOOKUP("electricity|SO2|Non-fatal heart attacks", US_national_yearly!$D:$AM, 28, FALSE) / VLOOKUP("electricity|SO2|Non-fatal heart attacks", US_national_yearly!$D:$AM, 10, FALSE), 1)</f>
        <v>3.3016092645794505E-4</v>
      </c>
      <c r="U13" s="7">
        <f>$B13 * IFERROR(VLOOKUP("electricity|SO2|Non-fatal heart attacks", US_national_yearly!$D:$AM, 29, FALSE) / VLOOKUP("electricity|SO2|Non-fatal heart attacks", US_national_yearly!$D:$AM, 10, FALSE), 1)</f>
        <v>3.3211695113744103E-4</v>
      </c>
      <c r="V13" s="7">
        <f>$B13 * IFERROR(VLOOKUP("electricity|SO2|Non-fatal heart attacks", US_national_yearly!$D:$AM, 30, FALSE) / VLOOKUP("electricity|SO2|Non-fatal heart attacks", US_national_yearly!$D:$AM, 10, FALSE), 1)</f>
        <v>3.3407297581693689E-4</v>
      </c>
      <c r="W13" s="7">
        <f>$B13 * IFERROR(VLOOKUP("electricity|SO2|Non-fatal heart attacks", US_national_yearly!$D:$AM, 31, FALSE) / VLOOKUP("electricity|SO2|Non-fatal heart attacks", US_national_yearly!$D:$AM, 10, FALSE), 1)</f>
        <v>3.3602900049643292E-4</v>
      </c>
      <c r="X13" s="7">
        <f>$B13 * IFERROR(VLOOKUP("electricity|SO2|Non-fatal heart attacks", US_national_yearly!$D:$AM, 32, FALSE) / VLOOKUP("electricity|SO2|Non-fatal heart attacks", US_national_yearly!$D:$AM, 10, FALSE), 1)</f>
        <v>3.3753155400062382E-4</v>
      </c>
      <c r="Y13" s="7">
        <f>$B13 * IFERROR(VLOOKUP("electricity|SO2|Non-fatal heart attacks", US_national_yearly!$D:$AM, 33, FALSE) / VLOOKUP("electricity|SO2|Non-fatal heart attacks", US_national_yearly!$D:$AM, 10, FALSE), 1)</f>
        <v>3.3903410750481483E-4</v>
      </c>
      <c r="Z13" s="7">
        <f>$B13 * IFERROR(VLOOKUP("electricity|SO2|Non-fatal heart attacks", US_national_yearly!$D:$AM, 34, FALSE) / VLOOKUP("electricity|SO2|Non-fatal heart attacks", US_national_yearly!$D:$AM, 10, FALSE), 1)</f>
        <v>3.4053666100900573E-4</v>
      </c>
      <c r="AA13" s="7">
        <f>$B13 * IFERROR(VLOOKUP("electricity|SO2|Non-fatal heart attacks", US_national_yearly!$D:$AM, 35, FALSE) / VLOOKUP("electricity|SO2|Non-fatal heart attacks", US_national_yearly!$D:$AM, 10, FALSE), 1)</f>
        <v>3.4203921451319663E-4</v>
      </c>
      <c r="AB13" s="7">
        <f>$B13 * IFERROR(VLOOKUP("electricity|SO2|Non-fatal heart attacks", US_national_yearly!$D:$AM, 36, FALSE) / VLOOKUP("electricity|SO2|Non-fatal heart attacks", US_national_yearly!$D:$AM, 10, FALSE), 1)</f>
        <v>3.4354176801738758E-4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0.16789418117132027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0.16831609121697222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0.16873800126262414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0.16915991130827612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0.16958182135392802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0.17019139015569984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0.17080095895747163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0.17184641638393508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0.17289187381039858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0.17393733123686203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0.17498278866332556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0.17602824608978901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0.17746799197968205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0.17890773786957503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0.18034748375946802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0.18178722964936103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0.18322697553925402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0.18470294206471877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0.18617890859018352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0.18765487511564821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0.18913084164111296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0.19060680816657771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0.19190549694683273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0.19320418572708772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0.19450287450734272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0.19580156328759774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0.19710025206785273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2.8344641395646734E-2</v>
      </c>
      <c r="C15" s="7">
        <f>$B15 * IFERROR(VLOOKUP("electricity|SO2|Work loss days", US_national_yearly!$D:$AM, 11, FALSE) / VLOOKUP("electricity|SO2|Work loss days", US_national_yearly!$D:$AM, 10, FALSE), 1)</f>
        <v>2.8436422201717704E-2</v>
      </c>
      <c r="D15" s="7">
        <f>$B15 * IFERROR(VLOOKUP("electricity|SO2|Work loss days", US_national_yearly!$D:$AM, 12, FALSE) / VLOOKUP("electricity|SO2|Work loss days", US_national_yearly!$D:$AM, 10, FALSE), 1)</f>
        <v>2.8528203007788674E-2</v>
      </c>
      <c r="E15" s="7">
        <f>$B15 * IFERROR(VLOOKUP("electricity|SO2|Work loss days", US_national_yearly!$D:$AM, 13, FALSE) / VLOOKUP("electricity|SO2|Work loss days", US_national_yearly!$D:$AM, 10, FALSE), 1)</f>
        <v>2.8619983813859651E-2</v>
      </c>
      <c r="F15" s="7">
        <f>$B15 * IFERROR(VLOOKUP("electricity|SO2|Work loss days", US_national_yearly!$D:$AM, 14, FALSE) / VLOOKUP("electricity|SO2|Work loss days", US_national_yearly!$D:$AM, 10, FALSE), 1)</f>
        <v>2.8711764619930621E-2</v>
      </c>
      <c r="G15" s="7">
        <f>$B15 * IFERROR(VLOOKUP("electricity|SO2|Work loss days", US_national_yearly!$D:$AM, 15, FALSE) / VLOOKUP("electricity|SO2|Work loss days", US_national_yearly!$D:$AM, 10, FALSE), 1)</f>
        <v>2.8829341519608673E-2</v>
      </c>
      <c r="H15" s="7">
        <f>$B15 * IFERROR(VLOOKUP("electricity|SO2|Work loss days", US_national_yearly!$D:$AM, 16, FALSE) / VLOOKUP("electricity|SO2|Work loss days", US_national_yearly!$D:$AM, 10, FALSE), 1)</f>
        <v>2.8946918419286725E-2</v>
      </c>
      <c r="I15" s="7">
        <f>$B15 * IFERROR(VLOOKUP("electricity|SO2|Work loss days", US_national_yearly!$D:$AM, 17, FALSE) / VLOOKUP("electricity|SO2|Work loss days", US_national_yearly!$D:$AM, 10, FALSE), 1)</f>
        <v>2.9118947253975767E-2</v>
      </c>
      <c r="J15" s="7">
        <f>$B15 * IFERROR(VLOOKUP("electricity|SO2|Work loss days", US_national_yearly!$D:$AM, 18, FALSE) / VLOOKUP("electricity|SO2|Work loss days", US_national_yearly!$D:$AM, 10, FALSE), 1)</f>
        <v>2.9290976088664801E-2</v>
      </c>
      <c r="K15" s="7">
        <f>$B15 * IFERROR(VLOOKUP("electricity|SO2|Work loss days", US_national_yearly!$D:$AM, 19, FALSE) / VLOOKUP("electricity|SO2|Work loss days", US_national_yearly!$D:$AM, 10, FALSE), 1)</f>
        <v>2.9463004923353853E-2</v>
      </c>
      <c r="L15" s="7">
        <f>$B15 * IFERROR(VLOOKUP("electricity|SO2|Work loss days", US_national_yearly!$D:$AM, 20, FALSE) / VLOOKUP("electricity|SO2|Work loss days", US_national_yearly!$D:$AM, 10, FALSE), 1)</f>
        <v>2.9635033758042887E-2</v>
      </c>
      <c r="M15" s="7">
        <f>$B15 * IFERROR(VLOOKUP("electricity|SO2|Work loss days", US_national_yearly!$D:$AM, 21, FALSE) / VLOOKUP("electricity|SO2|Work loss days", US_national_yearly!$D:$AM, 10, FALSE), 1)</f>
        <v>2.9807062592731935E-2</v>
      </c>
      <c r="N15" s="7">
        <f>$B15 * IFERROR(VLOOKUP("electricity|SO2|Work loss days", US_national_yearly!$D:$AM, 22, FALSE) / VLOOKUP("electricity|SO2|Work loss days", US_national_yearly!$D:$AM, 10, FALSE), 1)</f>
        <v>3.002472185119404E-2</v>
      </c>
      <c r="O15" s="7">
        <f>$B15 * IFERROR(VLOOKUP("electricity|SO2|Work loss days", US_national_yearly!$D:$AM, 23, FALSE) / VLOOKUP("electricity|SO2|Work loss days", US_national_yearly!$D:$AM, 10, FALSE), 1)</f>
        <v>3.0242381109656147E-2</v>
      </c>
      <c r="P15" s="7">
        <f>$B15 * IFERROR(VLOOKUP("electricity|SO2|Work loss days", US_national_yearly!$D:$AM, 24, FALSE) / VLOOKUP("electricity|SO2|Work loss days", US_national_yearly!$D:$AM, 10, FALSE), 1)</f>
        <v>3.0460040368118259E-2</v>
      </c>
      <c r="Q15" s="7">
        <f>$B15 * IFERROR(VLOOKUP("electricity|SO2|Work loss days", US_national_yearly!$D:$AM, 25, FALSE) / VLOOKUP("electricity|SO2|Work loss days", US_national_yearly!$D:$AM, 10, FALSE), 1)</f>
        <v>3.0677699626580363E-2</v>
      </c>
      <c r="R15" s="7">
        <f>$B15 * IFERROR(VLOOKUP("electricity|SO2|Work loss days", US_national_yearly!$D:$AM, 26, FALSE) / VLOOKUP("electricity|SO2|Work loss days", US_national_yearly!$D:$AM, 10, FALSE), 1)</f>
        <v>3.0895358885042471E-2</v>
      </c>
      <c r="S15" s="7">
        <f>$B15 * IFERROR(VLOOKUP("electricity|SO2|Work loss days", US_national_yearly!$D:$AM, 27, FALSE) / VLOOKUP("electricity|SO2|Work loss days", US_national_yearly!$D:$AM, 10, FALSE), 1)</f>
        <v>3.1139375225101292E-2</v>
      </c>
      <c r="T15" s="7">
        <f>$B15 * IFERROR(VLOOKUP("electricity|SO2|Work loss days", US_national_yearly!$D:$AM, 28, FALSE) / VLOOKUP("electricity|SO2|Work loss days", US_national_yearly!$D:$AM, 10, FALSE), 1)</f>
        <v>3.1383391565160124E-2</v>
      </c>
      <c r="U15" s="7">
        <f>$B15 * IFERROR(VLOOKUP("electricity|SO2|Work loss days", US_national_yearly!$D:$AM, 29, FALSE) / VLOOKUP("electricity|SO2|Work loss days", US_national_yearly!$D:$AM, 10, FALSE), 1)</f>
        <v>3.1627407905218952E-2</v>
      </c>
      <c r="V15" s="7">
        <f>$B15 * IFERROR(VLOOKUP("electricity|SO2|Work loss days", US_national_yearly!$D:$AM, 30, FALSE) / VLOOKUP("electricity|SO2|Work loss days", US_national_yearly!$D:$AM, 10, FALSE), 1)</f>
        <v>3.187142424527778E-2</v>
      </c>
      <c r="W15" s="7">
        <f>$B15 * IFERROR(VLOOKUP("electricity|SO2|Work loss days", US_national_yearly!$D:$AM, 31, FALSE) / VLOOKUP("electricity|SO2|Work loss days", US_national_yearly!$D:$AM, 10, FALSE), 1)</f>
        <v>3.2115440585336601E-2</v>
      </c>
      <c r="X15" s="7">
        <f>$B15 * IFERROR(VLOOKUP("electricity|SO2|Work loss days", US_national_yearly!$D:$AM, 32, FALSE) / VLOOKUP("electricity|SO2|Work loss days", US_national_yearly!$D:$AM, 10, FALSE), 1)</f>
        <v>3.2335275173080304E-2</v>
      </c>
      <c r="Y15" s="7">
        <f>$B15 * IFERROR(VLOOKUP("electricity|SO2|Work loss days", US_national_yearly!$D:$AM, 33, FALSE) / VLOOKUP("electricity|SO2|Work loss days", US_national_yearly!$D:$AM, 10, FALSE), 1)</f>
        <v>3.2555109760824E-2</v>
      </c>
      <c r="Z15" s="7">
        <f>$B15 * IFERROR(VLOOKUP("electricity|SO2|Work loss days", US_national_yearly!$D:$AM, 34, FALSE) / VLOOKUP("electricity|SO2|Work loss days", US_national_yearly!$D:$AM, 10, FALSE), 1)</f>
        <v>3.2774944348567696E-2</v>
      </c>
      <c r="AA15" s="7">
        <f>$B15 * IFERROR(VLOOKUP("electricity|SO2|Work loss days", US_national_yearly!$D:$AM, 35, FALSE) / VLOOKUP("electricity|SO2|Work loss days", US_national_yearly!$D:$AM, 10, FALSE), 1)</f>
        <v>3.2994778936311392E-2</v>
      </c>
      <c r="AB15" s="7">
        <f>$B15 * IFERROR(VLOOKUP("electricity|SO2|Work loss days", US_national_yearly!$D:$AM, 36, FALSE) / VLOOKUP("electricity|SO2|Work loss days", US_national_yearly!$D:$AM, 10, FALSE), 1)</f>
        <v>3.3214613524055095E-2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4.7096997140137168E-5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4.8524167074752333E-5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4.9951337009367498E-5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5.1378506943982677E-5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5.2805676878597843E-5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5.4181377754086965E-5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5.55570786295761E-5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5.6748078648391862E-5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5.7939078667207618E-5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5.913007868602338E-5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6.0321078704839128E-5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6.151207872365489E-5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6.2324933061151991E-5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6.3137787398649079E-5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6.3950641736146207E-5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6.4763496073643294E-5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6.5576350411140395E-5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6.6021972049933828E-5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6.6467593688727261E-5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6.6913215327520694E-5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6.7358836966314114E-5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6.7804458605107533E-5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6.8112065795145104E-5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6.8419672985182661E-5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6.8727280175220231E-5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6.9034887365257788E-5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6.9342494555295358E-5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7.3770274301046901E-3</v>
      </c>
      <c r="C2" s="7">
        <f>$B2 * IFERROR(VLOOKUP("buildings|PM25|Premature mortality", US_national_yearly!$D:$AM, 11, FALSE) / VLOOKUP("buildings|PM25|Premature mortality", US_national_yearly!$D:$AM, 10, FALSE), 1)</f>
        <v>7.4685526485654052E-3</v>
      </c>
      <c r="D2" s="7">
        <f>$B2 * IFERROR(VLOOKUP("buildings|PM25|Premature mortality", US_national_yearly!$D:$AM, 12, FALSE) / VLOOKUP("buildings|PM25|Premature mortality", US_national_yearly!$D:$AM, 10, FALSE), 1)</f>
        <v>7.5600778670261203E-3</v>
      </c>
      <c r="E2" s="7">
        <f>$B2 * IFERROR(VLOOKUP("buildings|PM25|Premature mortality", US_national_yearly!$D:$AM, 13, FALSE) / VLOOKUP("buildings|PM25|Premature mortality", US_national_yearly!$D:$AM, 10, FALSE), 1)</f>
        <v>7.6516030854868354E-3</v>
      </c>
      <c r="F2" s="7">
        <f>$B2 * IFERROR(VLOOKUP("buildings|PM25|Premature mortality", US_national_yearly!$D:$AM, 14, FALSE) / VLOOKUP("buildings|PM25|Premature mortality", US_national_yearly!$D:$AM, 10, FALSE), 1)</f>
        <v>7.7431283039475505E-3</v>
      </c>
      <c r="G2" s="7">
        <f>$B2 * IFERROR(VLOOKUP("buildings|PM25|Premature mortality", US_national_yearly!$D:$AM, 15, FALSE) / VLOOKUP("buildings|PM25|Premature mortality", US_national_yearly!$D:$AM, 10, FALSE), 1)</f>
        <v>7.9213466734656748E-3</v>
      </c>
      <c r="H2" s="7">
        <f>$B2 * IFERROR(VLOOKUP("buildings|PM25|Premature mortality", US_national_yearly!$D:$AM, 16, FALSE) / VLOOKUP("buildings|PM25|Premature mortality", US_national_yearly!$D:$AM, 10, FALSE), 1)</f>
        <v>8.0995650429838001E-3</v>
      </c>
      <c r="I2" s="7">
        <f>$B2 * IFERROR(VLOOKUP("buildings|PM25|Premature mortality", US_national_yearly!$D:$AM, 17, FALSE) / VLOOKUP("buildings|PM25|Premature mortality", US_national_yearly!$D:$AM, 10, FALSE), 1)</f>
        <v>8.2167761949763409E-3</v>
      </c>
      <c r="J2" s="7">
        <f>$B2 * IFERROR(VLOOKUP("buildings|PM25|Premature mortality", US_national_yearly!$D:$AM, 18, FALSE) / VLOOKUP("buildings|PM25|Premature mortality", US_national_yearly!$D:$AM, 10, FALSE), 1)</f>
        <v>8.3339873469688817E-3</v>
      </c>
      <c r="K2" s="7">
        <f>$B2 * IFERROR(VLOOKUP("buildings|PM25|Premature mortality", US_national_yearly!$D:$AM, 19, FALSE) / VLOOKUP("buildings|PM25|Premature mortality", US_national_yearly!$D:$AM, 10, FALSE), 1)</f>
        <v>8.4511984989614208E-3</v>
      </c>
      <c r="L2" s="7">
        <f>$B2 * IFERROR(VLOOKUP("buildings|PM25|Premature mortality", US_national_yearly!$D:$AM, 20, FALSE) / VLOOKUP("buildings|PM25|Premature mortality", US_national_yearly!$D:$AM, 10, FALSE), 1)</f>
        <v>8.5684096509539617E-3</v>
      </c>
      <c r="M2" s="7">
        <f>$B2 * IFERROR(VLOOKUP("buildings|PM25|Premature mortality", US_national_yearly!$D:$AM, 21, FALSE) / VLOOKUP("buildings|PM25|Premature mortality", US_national_yearly!$D:$AM, 10, FALSE), 1)</f>
        <v>8.6856208029465025E-3</v>
      </c>
      <c r="N2" s="7">
        <f>$B2 * IFERROR(VLOOKUP("buildings|PM25|Premature mortality", US_national_yearly!$D:$AM, 22, FALSE) / VLOOKUP("buildings|PM25|Premature mortality", US_national_yearly!$D:$AM, 10, FALSE), 1)</f>
        <v>8.7767655006805428E-3</v>
      </c>
      <c r="O2" s="7">
        <f>$B2 * IFERROR(VLOOKUP("buildings|PM25|Premature mortality", US_national_yearly!$D:$AM, 23, FALSE) / VLOOKUP("buildings|PM25|Premature mortality", US_national_yearly!$D:$AM, 10, FALSE), 1)</f>
        <v>8.8679101984145848E-3</v>
      </c>
      <c r="P2" s="7">
        <f>$B2 * IFERROR(VLOOKUP("buildings|PM25|Premature mortality", US_national_yearly!$D:$AM, 24, FALSE) / VLOOKUP("buildings|PM25|Premature mortality", US_national_yearly!$D:$AM, 10, FALSE), 1)</f>
        <v>8.9590548961486251E-3</v>
      </c>
      <c r="Q2" s="7">
        <f>$B2 * IFERROR(VLOOKUP("buildings|PM25|Premature mortality", US_national_yearly!$D:$AM, 25, FALSE) / VLOOKUP("buildings|PM25|Premature mortality", US_national_yearly!$D:$AM, 10, FALSE), 1)</f>
        <v>9.0501995938826688E-3</v>
      </c>
      <c r="R2" s="7">
        <f>$B2 * IFERROR(VLOOKUP("buildings|PM25|Premature mortality", US_national_yearly!$D:$AM, 26, FALSE) / VLOOKUP("buildings|PM25|Premature mortality", US_national_yearly!$D:$AM, 10, FALSE), 1)</f>
        <v>9.1413442916167091E-3</v>
      </c>
      <c r="S2" s="7">
        <f>$B2 * IFERROR(VLOOKUP("buildings|PM25|Premature mortality", US_national_yearly!$D:$AM, 27, FALSE) / VLOOKUP("buildings|PM25|Premature mortality", US_national_yearly!$D:$AM, 10, FALSE), 1)</f>
        <v>9.1897886037914933E-3</v>
      </c>
      <c r="T2" s="7">
        <f>$B2 * IFERROR(VLOOKUP("buildings|PM25|Premature mortality", US_national_yearly!$D:$AM, 28, FALSE) / VLOOKUP("buildings|PM25|Premature mortality", US_national_yearly!$D:$AM, 10, FALSE), 1)</f>
        <v>9.2382329159662793E-3</v>
      </c>
      <c r="U2" s="7">
        <f>$B2 * IFERROR(VLOOKUP("buildings|PM25|Premature mortality", US_national_yearly!$D:$AM, 29, FALSE) / VLOOKUP("buildings|PM25|Premature mortality", US_national_yearly!$D:$AM, 10, FALSE), 1)</f>
        <v>9.2866772281410652E-3</v>
      </c>
      <c r="V2" s="7">
        <f>$B2 * IFERROR(VLOOKUP("buildings|PM25|Premature mortality", US_national_yearly!$D:$AM, 30, FALSE) / VLOOKUP("buildings|PM25|Premature mortality", US_national_yearly!$D:$AM, 10, FALSE), 1)</f>
        <v>9.3351215403158494E-3</v>
      </c>
      <c r="W2" s="7">
        <f>$B2 * IFERROR(VLOOKUP("buildings|PM25|Premature mortality", US_national_yearly!$D:$AM, 31, FALSE) / VLOOKUP("buildings|PM25|Premature mortality", US_national_yearly!$D:$AM, 10, FALSE), 1)</f>
        <v>9.3835658524906336E-3</v>
      </c>
      <c r="X2" s="7">
        <f>$B2 * IFERROR(VLOOKUP("buildings|PM25|Premature mortality", US_national_yearly!$D:$AM, 32, FALSE) / VLOOKUP("buildings|PM25|Premature mortality", US_national_yearly!$D:$AM, 10, FALSE), 1)</f>
        <v>9.3922612176070615E-3</v>
      </c>
      <c r="Y2" s="7">
        <f>$B2 * IFERROR(VLOOKUP("buildings|PM25|Premature mortality", US_national_yearly!$D:$AM, 33, FALSE) / VLOOKUP("buildings|PM25|Premature mortality", US_national_yearly!$D:$AM, 10, FALSE), 1)</f>
        <v>9.4009565827234878E-3</v>
      </c>
      <c r="Z2" s="7">
        <f>$B2 * IFERROR(VLOOKUP("buildings|PM25|Premature mortality", US_national_yearly!$D:$AM, 34, FALSE) / VLOOKUP("buildings|PM25|Premature mortality", US_national_yearly!$D:$AM, 10, FALSE), 1)</f>
        <v>9.4096519478399157E-3</v>
      </c>
      <c r="AA2" s="7">
        <f>$B2 * IFERROR(VLOOKUP("buildings|PM25|Premature mortality", US_national_yearly!$D:$AM, 35, FALSE) / VLOOKUP("buildings|PM25|Premature mortality", US_national_yearly!$D:$AM, 10, FALSE), 1)</f>
        <v>9.4183473129563437E-3</v>
      </c>
      <c r="AB2" s="7">
        <f>$B2 * IFERROR(VLOOKUP("buildings|PM25|Premature mortality", US_national_yearly!$D:$AM, 36, FALSE) / VLOOKUP("buildings|PM25|Premature mortality", US_national_yearly!$D:$AM, 10, FALSE), 1)</f>
        <v>9.4270426780727699E-3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1.5987816879560669E-5</v>
      </c>
      <c r="C3" s="7">
        <f>$B3 * IFERROR(VLOOKUP("buildings|PM25|Infant mortality", US_national_yearly!$D:$AM, 11, FALSE) / VLOOKUP("buildings|PM25|Infant mortality", US_national_yearly!$D:$AM, 10, FALSE), 1)</f>
        <v>1.5849336522663363E-5</v>
      </c>
      <c r="D3" s="7">
        <f>$B3 * IFERROR(VLOOKUP("buildings|PM25|Infant mortality", US_national_yearly!$D:$AM, 12, FALSE) / VLOOKUP("buildings|PM25|Infant mortality", US_national_yearly!$D:$AM, 10, FALSE), 1)</f>
        <v>1.5710856165766057E-5</v>
      </c>
      <c r="E3" s="7">
        <f>$B3 * IFERROR(VLOOKUP("buildings|PM25|Infant mortality", US_national_yearly!$D:$AM, 13, FALSE) / VLOOKUP("buildings|PM25|Infant mortality", US_national_yearly!$D:$AM, 10, FALSE), 1)</f>
        <v>1.5572375808868751E-5</v>
      </c>
      <c r="F3" s="7">
        <f>$B3 * IFERROR(VLOOKUP("buildings|PM25|Infant mortality", US_national_yearly!$D:$AM, 14, FALSE) / VLOOKUP("buildings|PM25|Infant mortality", US_national_yearly!$D:$AM, 10, FALSE), 1)</f>
        <v>1.5433895451971445E-5</v>
      </c>
      <c r="G3" s="7">
        <f>$B3 * IFERROR(VLOOKUP("buildings|PM25|Infant mortality", US_national_yearly!$D:$AM, 15, FALSE) / VLOOKUP("buildings|PM25|Infant mortality", US_national_yearly!$D:$AM, 10, FALSE), 1)</f>
        <v>1.0262980546563551E-5</v>
      </c>
      <c r="H3" s="7">
        <f>$B3 * IFERROR(VLOOKUP("buildings|PM25|Infant mortality", US_national_yearly!$D:$AM, 16, FALSE) / VLOOKUP("buildings|PM25|Infant mortality", US_national_yearly!$D:$AM, 10, FALSE), 1)</f>
        <v>5.0920656411556543E-6</v>
      </c>
      <c r="I3" s="7">
        <f>$B3 * IFERROR(VLOOKUP("buildings|PM25|Infant mortality", US_national_yearly!$D:$AM, 17, FALSE) / VLOOKUP("buildings|PM25|Infant mortality", US_national_yearly!$D:$AM, 10, FALSE), 1)</f>
        <v>5.0588836759390387E-6</v>
      </c>
      <c r="J3" s="7">
        <f>$B3 * IFERROR(VLOOKUP("buildings|PM25|Infant mortality", US_national_yearly!$D:$AM, 18, FALSE) / VLOOKUP("buildings|PM25|Infant mortality", US_national_yearly!$D:$AM, 10, FALSE), 1)</f>
        <v>5.0257017107224239E-6</v>
      </c>
      <c r="K3" s="7">
        <f>$B3 * IFERROR(VLOOKUP("buildings|PM25|Infant mortality", US_national_yearly!$D:$AM, 19, FALSE) / VLOOKUP("buildings|PM25|Infant mortality", US_national_yearly!$D:$AM, 10, FALSE), 1)</f>
        <v>4.9925197455058083E-6</v>
      </c>
      <c r="L3" s="7">
        <f>$B3 * IFERROR(VLOOKUP("buildings|PM25|Infant mortality", US_national_yearly!$D:$AM, 20, FALSE) / VLOOKUP("buildings|PM25|Infant mortality", US_national_yearly!$D:$AM, 10, FALSE), 1)</f>
        <v>4.9593377802891935E-6</v>
      </c>
      <c r="M3" s="7">
        <f>$B3 * IFERROR(VLOOKUP("buildings|PM25|Infant mortality", US_national_yearly!$D:$AM, 21, FALSE) / VLOOKUP("buildings|PM25|Infant mortality", US_national_yearly!$D:$AM, 10, FALSE), 1)</f>
        <v>4.9261558150725779E-6</v>
      </c>
      <c r="N3" s="7">
        <f>$B3 * IFERROR(VLOOKUP("buildings|PM25|Infant mortality", US_national_yearly!$D:$AM, 22, FALSE) / VLOOKUP("buildings|PM25|Infant mortality", US_national_yearly!$D:$AM, 10, FALSE), 1)</f>
        <v>4.9053940018411963E-6</v>
      </c>
      <c r="O3" s="7">
        <f>$B3 * IFERROR(VLOOKUP("buildings|PM25|Infant mortality", US_national_yearly!$D:$AM, 23, FALSE) / VLOOKUP("buildings|PM25|Infant mortality", US_national_yearly!$D:$AM, 10, FALSE), 1)</f>
        <v>4.8846321886098147E-6</v>
      </c>
      <c r="P3" s="7">
        <f>$B3 * IFERROR(VLOOKUP("buildings|PM25|Infant mortality", US_national_yearly!$D:$AM, 24, FALSE) / VLOOKUP("buildings|PM25|Infant mortality", US_national_yearly!$D:$AM, 10, FALSE), 1)</f>
        <v>4.8638703753784331E-6</v>
      </c>
      <c r="Q3" s="7">
        <f>$B3 * IFERROR(VLOOKUP("buildings|PM25|Infant mortality", US_national_yearly!$D:$AM, 25, FALSE) / VLOOKUP("buildings|PM25|Infant mortality", US_national_yearly!$D:$AM, 10, FALSE), 1)</f>
        <v>4.8431085621470523E-6</v>
      </c>
      <c r="R3" s="7">
        <f>$B3 * IFERROR(VLOOKUP("buildings|PM25|Infant mortality", US_national_yearly!$D:$AM, 26, FALSE) / VLOOKUP("buildings|PM25|Infant mortality", US_national_yearly!$D:$AM, 10, FALSE), 1)</f>
        <v>4.8223467489156707E-6</v>
      </c>
      <c r="S3" s="7">
        <f>$B3 * IFERROR(VLOOKUP("buildings|PM25|Infant mortality", US_national_yearly!$D:$AM, 27, FALSE) / VLOOKUP("buildings|PM25|Infant mortality", US_national_yearly!$D:$AM, 10, FALSE), 1)</f>
        <v>4.7964241974604089E-6</v>
      </c>
      <c r="T3" s="7">
        <f>$B3 * IFERROR(VLOOKUP("buildings|PM25|Infant mortality", US_national_yearly!$D:$AM, 28, FALSE) / VLOOKUP("buildings|PM25|Infant mortality", US_national_yearly!$D:$AM, 10, FALSE), 1)</f>
        <v>4.7705016460051488E-6</v>
      </c>
      <c r="U3" s="7">
        <f>$B3 * IFERROR(VLOOKUP("buildings|PM25|Infant mortality", US_national_yearly!$D:$AM, 29, FALSE) / VLOOKUP("buildings|PM25|Infant mortality", US_national_yearly!$D:$AM, 10, FALSE), 1)</f>
        <v>4.7445790945498862E-6</v>
      </c>
      <c r="V3" s="7">
        <f>$B3 * IFERROR(VLOOKUP("buildings|PM25|Infant mortality", US_national_yearly!$D:$AM, 30, FALSE) / VLOOKUP("buildings|PM25|Infant mortality", US_national_yearly!$D:$AM, 10, FALSE), 1)</f>
        <v>4.7186565430946253E-6</v>
      </c>
      <c r="W3" s="7">
        <f>$B3 * IFERROR(VLOOKUP("buildings|PM25|Infant mortality", US_national_yearly!$D:$AM, 31, FALSE) / VLOOKUP("buildings|PM25|Infant mortality", US_national_yearly!$D:$AM, 10, FALSE), 1)</f>
        <v>4.6927339916393643E-6</v>
      </c>
      <c r="X3" s="7">
        <f>$B3 * IFERROR(VLOOKUP("buildings|PM25|Infant mortality", US_national_yearly!$D:$AM, 32, FALSE) / VLOOKUP("buildings|PM25|Infant mortality", US_national_yearly!$D:$AM, 10, FALSE), 1)</f>
        <v>4.6648250273699112E-6</v>
      </c>
      <c r="Y3" s="7">
        <f>$B3 * IFERROR(VLOOKUP("buildings|PM25|Infant mortality", US_national_yearly!$D:$AM, 33, FALSE) / VLOOKUP("buildings|PM25|Infant mortality", US_national_yearly!$D:$AM, 10, FALSE), 1)</f>
        <v>4.6369160631004598E-6</v>
      </c>
      <c r="Z3" s="7">
        <f>$B3 * IFERROR(VLOOKUP("buildings|PM25|Infant mortality", US_national_yearly!$D:$AM, 34, FALSE) / VLOOKUP("buildings|PM25|Infant mortality", US_national_yearly!$D:$AM, 10, FALSE), 1)</f>
        <v>4.6090070988310075E-6</v>
      </c>
      <c r="AA3" s="7">
        <f>$B3 * IFERROR(VLOOKUP("buildings|PM25|Infant mortality", US_national_yearly!$D:$AM, 35, FALSE) / VLOOKUP("buildings|PM25|Infant mortality", US_national_yearly!$D:$AM, 10, FALSE), 1)</f>
        <v>4.5810981345615552E-6</v>
      </c>
      <c r="AB3" s="7">
        <f>$B3 * IFERROR(VLOOKUP("buildings|PM25|Infant mortality", US_national_yearly!$D:$AM, 36, FALSE) / VLOOKUP("buildings|PM25|Infant mortality", US_national_yearly!$D:$AM, 10, FALSE), 1)</f>
        <v>4.5531891702921037E-6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1.9660658327634927E-2</v>
      </c>
      <c r="C6" s="7">
        <f>$B6 * IFERROR(VLOOKUP("buildings|PM25|Asthma symptoms cough", US_national_yearly!$D:$AM, 11, FALSE) / VLOOKUP("buildings|PM25|Asthma symptoms cough", US_national_yearly!$D:$AM, 10, FALSE), 1)</f>
        <v>1.9660658327634927E-2</v>
      </c>
      <c r="D6" s="7">
        <f>$B6 * IFERROR(VLOOKUP("buildings|PM25|Asthma symptoms cough", US_national_yearly!$D:$AM, 12, FALSE) / VLOOKUP("buildings|PM25|Asthma symptoms cough", US_national_yearly!$D:$AM, 10, FALSE), 1)</f>
        <v>1.9660658327634927E-2</v>
      </c>
      <c r="E6" s="7">
        <f>$B6 * IFERROR(VLOOKUP("buildings|PM25|Asthma symptoms cough", US_national_yearly!$D:$AM, 13, FALSE) / VLOOKUP("buildings|PM25|Asthma symptoms cough", US_national_yearly!$D:$AM, 10, FALSE), 1)</f>
        <v>1.9660658327634927E-2</v>
      </c>
      <c r="F6" s="7">
        <f>$B6 * IFERROR(VLOOKUP("buildings|PM25|Asthma symptoms cough", US_national_yearly!$D:$AM, 14, FALSE) / VLOOKUP("buildings|PM25|Asthma symptoms cough", US_national_yearly!$D:$AM, 10, FALSE), 1)</f>
        <v>1.9660658327634927E-2</v>
      </c>
      <c r="G6" s="7">
        <f>$B6 * IFERROR(VLOOKUP("buildings|PM25|Asthma symptoms cough", US_national_yearly!$D:$AM, 15, FALSE) / VLOOKUP("buildings|PM25|Asthma symptoms cough", US_national_yearly!$D:$AM, 10, FALSE), 1)</f>
        <v>1.9660658327634927E-2</v>
      </c>
      <c r="H6" s="7">
        <f>$B6 * IFERROR(VLOOKUP("buildings|PM25|Asthma symptoms cough", US_national_yearly!$D:$AM, 16, FALSE) / VLOOKUP("buildings|PM25|Asthma symptoms cough", US_national_yearly!$D:$AM, 10, FALSE), 1)</f>
        <v>1.9660658327634927E-2</v>
      </c>
      <c r="I6" s="7">
        <f>$B6 * IFERROR(VLOOKUP("buildings|PM25|Asthma symptoms cough", US_national_yearly!$D:$AM, 17, FALSE) / VLOOKUP("buildings|PM25|Asthma symptoms cough", US_national_yearly!$D:$AM, 10, FALSE), 1)</f>
        <v>1.9660658327634927E-2</v>
      </c>
      <c r="J6" s="7">
        <f>$B6 * IFERROR(VLOOKUP("buildings|PM25|Asthma symptoms cough", US_national_yearly!$D:$AM, 18, FALSE) / VLOOKUP("buildings|PM25|Asthma symptoms cough", US_national_yearly!$D:$AM, 10, FALSE), 1)</f>
        <v>1.9660658327634927E-2</v>
      </c>
      <c r="K6" s="7">
        <f>$B6 * IFERROR(VLOOKUP("buildings|PM25|Asthma symptoms cough", US_national_yearly!$D:$AM, 19, FALSE) / VLOOKUP("buildings|PM25|Asthma symptoms cough", US_national_yearly!$D:$AM, 10, FALSE), 1)</f>
        <v>1.9660658327634927E-2</v>
      </c>
      <c r="L6" s="7">
        <f>$B6 * IFERROR(VLOOKUP("buildings|PM25|Asthma symptoms cough", US_national_yearly!$D:$AM, 20, FALSE) / VLOOKUP("buildings|PM25|Asthma symptoms cough", US_national_yearly!$D:$AM, 10, FALSE), 1)</f>
        <v>1.9660658327634927E-2</v>
      </c>
      <c r="M6" s="7">
        <f>$B6 * IFERROR(VLOOKUP("buildings|PM25|Asthma symptoms cough", US_national_yearly!$D:$AM, 21, FALSE) / VLOOKUP("buildings|PM25|Asthma symptoms cough", US_national_yearly!$D:$AM, 10, FALSE), 1)</f>
        <v>1.9660658327634927E-2</v>
      </c>
      <c r="N6" s="7">
        <f>$B6 * IFERROR(VLOOKUP("buildings|PM25|Asthma symptoms cough", US_national_yearly!$D:$AM, 22, FALSE) / VLOOKUP("buildings|PM25|Asthma symptoms cough", US_national_yearly!$D:$AM, 10, FALSE), 1)</f>
        <v>1.9660658327634927E-2</v>
      </c>
      <c r="O6" s="7">
        <f>$B6 * IFERROR(VLOOKUP("buildings|PM25|Asthma symptoms cough", US_national_yearly!$D:$AM, 23, FALSE) / VLOOKUP("buildings|PM25|Asthma symptoms cough", US_national_yearly!$D:$AM, 10, FALSE), 1)</f>
        <v>1.9660658327634927E-2</v>
      </c>
      <c r="P6" s="7">
        <f>$B6 * IFERROR(VLOOKUP("buildings|PM25|Asthma symptoms cough", US_national_yearly!$D:$AM, 24, FALSE) / VLOOKUP("buildings|PM25|Asthma symptoms cough", US_national_yearly!$D:$AM, 10, FALSE), 1)</f>
        <v>1.9660658327634927E-2</v>
      </c>
      <c r="Q6" s="7">
        <f>$B6 * IFERROR(VLOOKUP("buildings|PM25|Asthma symptoms cough", US_national_yearly!$D:$AM, 25, FALSE) / VLOOKUP("buildings|PM25|Asthma symptoms cough", US_national_yearly!$D:$AM, 10, FALSE), 1)</f>
        <v>1.9660658327634927E-2</v>
      </c>
      <c r="R6" s="7">
        <f>$B6 * IFERROR(VLOOKUP("buildings|PM25|Asthma symptoms cough", US_national_yearly!$D:$AM, 26, FALSE) / VLOOKUP("buildings|PM25|Asthma symptoms cough", US_national_yearly!$D:$AM, 10, FALSE), 1)</f>
        <v>1.9660658327634927E-2</v>
      </c>
      <c r="S6" s="7">
        <f>$B6 * IFERROR(VLOOKUP("buildings|PM25|Asthma symptoms cough", US_national_yearly!$D:$AM, 27, FALSE) / VLOOKUP("buildings|PM25|Asthma symptoms cough", US_national_yearly!$D:$AM, 10, FALSE), 1)</f>
        <v>1.9660658327634927E-2</v>
      </c>
      <c r="T6" s="7">
        <f>$B6 * IFERROR(VLOOKUP("buildings|PM25|Asthma symptoms cough", US_national_yearly!$D:$AM, 28, FALSE) / VLOOKUP("buildings|PM25|Asthma symptoms cough", US_national_yearly!$D:$AM, 10, FALSE), 1)</f>
        <v>1.9660658327634927E-2</v>
      </c>
      <c r="U6" s="7">
        <f>$B6 * IFERROR(VLOOKUP("buildings|PM25|Asthma symptoms cough", US_national_yearly!$D:$AM, 29, FALSE) / VLOOKUP("buildings|PM25|Asthma symptoms cough", US_national_yearly!$D:$AM, 10, FALSE), 1)</f>
        <v>1.9660658327634927E-2</v>
      </c>
      <c r="V6" s="7">
        <f>$B6 * IFERROR(VLOOKUP("buildings|PM25|Asthma symptoms cough", US_national_yearly!$D:$AM, 30, FALSE) / VLOOKUP("buildings|PM25|Asthma symptoms cough", US_national_yearly!$D:$AM, 10, FALSE), 1)</f>
        <v>1.9660658327634927E-2</v>
      </c>
      <c r="W6" s="7">
        <f>$B6 * IFERROR(VLOOKUP("buildings|PM25|Asthma symptoms cough", US_national_yearly!$D:$AM, 31, FALSE) / VLOOKUP("buildings|PM25|Asthma symptoms cough", US_national_yearly!$D:$AM, 10, FALSE), 1)</f>
        <v>1.9660658327634927E-2</v>
      </c>
      <c r="X6" s="7">
        <f>$B6 * IFERROR(VLOOKUP("buildings|PM25|Asthma symptoms cough", US_national_yearly!$D:$AM, 32, FALSE) / VLOOKUP("buildings|PM25|Asthma symptoms cough", US_national_yearly!$D:$AM, 10, FALSE), 1)</f>
        <v>1.9660658327634927E-2</v>
      </c>
      <c r="Y6" s="7">
        <f>$B6 * IFERROR(VLOOKUP("buildings|PM25|Asthma symptoms cough", US_national_yearly!$D:$AM, 33, FALSE) / VLOOKUP("buildings|PM25|Asthma symptoms cough", US_national_yearly!$D:$AM, 10, FALSE), 1)</f>
        <v>1.9660658327634927E-2</v>
      </c>
      <c r="Z6" s="7">
        <f>$B6 * IFERROR(VLOOKUP("buildings|PM25|Asthma symptoms cough", US_national_yearly!$D:$AM, 34, FALSE) / VLOOKUP("buildings|PM25|Asthma symptoms cough", US_national_yearly!$D:$AM, 10, FALSE), 1)</f>
        <v>1.9660658327634927E-2</v>
      </c>
      <c r="AA6" s="7">
        <f>$B6 * IFERROR(VLOOKUP("buildings|PM25|Asthma symptoms cough", US_national_yearly!$D:$AM, 35, FALSE) / VLOOKUP("buildings|PM25|Asthma symptoms cough", US_national_yearly!$D:$AM, 10, FALSE), 1)</f>
        <v>1.9660658327634927E-2</v>
      </c>
      <c r="AB6" s="7">
        <f>$B6 * IFERROR(VLOOKUP("buildings|PM25|Asthma symptoms cough", US_national_yearly!$D:$AM, 36, FALSE) / VLOOKUP("buildings|PM25|Asthma symptoms cough", US_national_yearly!$D:$AM, 10, FALSE), 1)</f>
        <v>1.9660658327634927E-2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2.6475954604769113E-2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2.6475954604769113E-2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2.6475954604769113E-2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2.6475954604769113E-2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2.6475954604769113E-2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2.6475954604769113E-2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2.6475954604769113E-2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2.6475954604769113E-2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2.6475954604769113E-2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2.6475954604769113E-2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2.6475954604769113E-2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2.6475954604769113E-2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2.6475954604769113E-2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2.6475954604769113E-2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2.6475954604769113E-2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2.6475954604769113E-2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2.6475954604769113E-2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2.6475954604769113E-2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2.6475954604769113E-2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2.6475954604769113E-2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2.6475954604769113E-2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2.6475954604769113E-2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2.6475954604769113E-2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2.6475954604769113E-2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2.6475954604769113E-2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2.6475954604769113E-2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2.6475954604769113E-2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4.0450681258160495E-2</v>
      </c>
      <c r="C8" s="7">
        <f>$B8 * IFERROR(VLOOKUP("buildings|PM25|Asthma symptoms wheeze", US_national_yearly!$D:$AM, 11, FALSE) / VLOOKUP("buildings|PM25|Asthma symptoms wheeze", US_national_yearly!$D:$AM, 10, FALSE), 1)</f>
        <v>4.0450681258160495E-2</v>
      </c>
      <c r="D8" s="7">
        <f>$B8 * IFERROR(VLOOKUP("buildings|PM25|Asthma symptoms wheeze", US_national_yearly!$D:$AM, 12, FALSE) / VLOOKUP("buildings|PM25|Asthma symptoms wheeze", US_national_yearly!$D:$AM, 10, FALSE), 1)</f>
        <v>4.0450681258160495E-2</v>
      </c>
      <c r="E8" s="7">
        <f>$B8 * IFERROR(VLOOKUP("buildings|PM25|Asthma symptoms wheeze", US_national_yearly!$D:$AM, 13, FALSE) / VLOOKUP("buildings|PM25|Asthma symptoms wheeze", US_national_yearly!$D:$AM, 10, FALSE), 1)</f>
        <v>4.0450681258160495E-2</v>
      </c>
      <c r="F8" s="7">
        <f>$B8 * IFERROR(VLOOKUP("buildings|PM25|Asthma symptoms wheeze", US_national_yearly!$D:$AM, 14, FALSE) / VLOOKUP("buildings|PM25|Asthma symptoms wheeze", US_national_yearly!$D:$AM, 10, FALSE), 1)</f>
        <v>4.0450681258160495E-2</v>
      </c>
      <c r="G8" s="7">
        <f>$B8 * IFERROR(VLOOKUP("buildings|PM25|Asthma symptoms wheeze", US_national_yearly!$D:$AM, 15, FALSE) / VLOOKUP("buildings|PM25|Asthma symptoms wheeze", US_national_yearly!$D:$AM, 10, FALSE), 1)</f>
        <v>4.0450681258160495E-2</v>
      </c>
      <c r="H8" s="7">
        <f>$B8 * IFERROR(VLOOKUP("buildings|PM25|Asthma symptoms wheeze", US_national_yearly!$D:$AM, 16, FALSE) / VLOOKUP("buildings|PM25|Asthma symptoms wheeze", US_national_yearly!$D:$AM, 10, FALSE), 1)</f>
        <v>4.0450681258160495E-2</v>
      </c>
      <c r="I8" s="7">
        <f>$B8 * IFERROR(VLOOKUP("buildings|PM25|Asthma symptoms wheeze", US_national_yearly!$D:$AM, 17, FALSE) / VLOOKUP("buildings|PM25|Asthma symptoms wheeze", US_national_yearly!$D:$AM, 10, FALSE), 1)</f>
        <v>4.0450681258160495E-2</v>
      </c>
      <c r="J8" s="7">
        <f>$B8 * IFERROR(VLOOKUP("buildings|PM25|Asthma symptoms wheeze", US_national_yearly!$D:$AM, 18, FALSE) / VLOOKUP("buildings|PM25|Asthma symptoms wheeze", US_national_yearly!$D:$AM, 10, FALSE), 1)</f>
        <v>4.0450681258160495E-2</v>
      </c>
      <c r="K8" s="7">
        <f>$B8 * IFERROR(VLOOKUP("buildings|PM25|Asthma symptoms wheeze", US_national_yearly!$D:$AM, 19, FALSE) / VLOOKUP("buildings|PM25|Asthma symptoms wheeze", US_national_yearly!$D:$AM, 10, FALSE), 1)</f>
        <v>4.0450681258160495E-2</v>
      </c>
      <c r="L8" s="7">
        <f>$B8 * IFERROR(VLOOKUP("buildings|PM25|Asthma symptoms wheeze", US_national_yearly!$D:$AM, 20, FALSE) / VLOOKUP("buildings|PM25|Asthma symptoms wheeze", US_national_yearly!$D:$AM, 10, FALSE), 1)</f>
        <v>4.0450681258160495E-2</v>
      </c>
      <c r="M8" s="7">
        <f>$B8 * IFERROR(VLOOKUP("buildings|PM25|Asthma symptoms wheeze", US_national_yearly!$D:$AM, 21, FALSE) / VLOOKUP("buildings|PM25|Asthma symptoms wheeze", US_national_yearly!$D:$AM, 10, FALSE), 1)</f>
        <v>4.0450681258160495E-2</v>
      </c>
      <c r="N8" s="7">
        <f>$B8 * IFERROR(VLOOKUP("buildings|PM25|Asthma symptoms wheeze", US_national_yearly!$D:$AM, 22, FALSE) / VLOOKUP("buildings|PM25|Asthma symptoms wheeze", US_national_yearly!$D:$AM, 10, FALSE), 1)</f>
        <v>4.0450681258160495E-2</v>
      </c>
      <c r="O8" s="7">
        <f>$B8 * IFERROR(VLOOKUP("buildings|PM25|Asthma symptoms wheeze", US_national_yearly!$D:$AM, 23, FALSE) / VLOOKUP("buildings|PM25|Asthma symptoms wheeze", US_national_yearly!$D:$AM, 10, FALSE), 1)</f>
        <v>4.0450681258160495E-2</v>
      </c>
      <c r="P8" s="7">
        <f>$B8 * IFERROR(VLOOKUP("buildings|PM25|Asthma symptoms wheeze", US_national_yearly!$D:$AM, 24, FALSE) / VLOOKUP("buildings|PM25|Asthma symptoms wheeze", US_national_yearly!$D:$AM, 10, FALSE), 1)</f>
        <v>4.0450681258160495E-2</v>
      </c>
      <c r="Q8" s="7">
        <f>$B8 * IFERROR(VLOOKUP("buildings|PM25|Asthma symptoms wheeze", US_national_yearly!$D:$AM, 25, FALSE) / VLOOKUP("buildings|PM25|Asthma symptoms wheeze", US_national_yearly!$D:$AM, 10, FALSE), 1)</f>
        <v>4.0450681258160495E-2</v>
      </c>
      <c r="R8" s="7">
        <f>$B8 * IFERROR(VLOOKUP("buildings|PM25|Asthma symptoms wheeze", US_national_yearly!$D:$AM, 26, FALSE) / VLOOKUP("buildings|PM25|Asthma symptoms wheeze", US_national_yearly!$D:$AM, 10, FALSE), 1)</f>
        <v>4.0450681258160495E-2</v>
      </c>
      <c r="S8" s="7">
        <f>$B8 * IFERROR(VLOOKUP("buildings|PM25|Asthma symptoms wheeze", US_national_yearly!$D:$AM, 27, FALSE) / VLOOKUP("buildings|PM25|Asthma symptoms wheeze", US_national_yearly!$D:$AM, 10, FALSE), 1)</f>
        <v>4.0450681258160495E-2</v>
      </c>
      <c r="T8" s="7">
        <f>$B8 * IFERROR(VLOOKUP("buildings|PM25|Asthma symptoms wheeze", US_national_yearly!$D:$AM, 28, FALSE) / VLOOKUP("buildings|PM25|Asthma symptoms wheeze", US_national_yearly!$D:$AM, 10, FALSE), 1)</f>
        <v>4.0450681258160495E-2</v>
      </c>
      <c r="U8" s="7">
        <f>$B8 * IFERROR(VLOOKUP("buildings|PM25|Asthma symptoms wheeze", US_national_yearly!$D:$AM, 29, FALSE) / VLOOKUP("buildings|PM25|Asthma symptoms wheeze", US_national_yearly!$D:$AM, 10, FALSE), 1)</f>
        <v>4.0450681258160495E-2</v>
      </c>
      <c r="V8" s="7">
        <f>$B8 * IFERROR(VLOOKUP("buildings|PM25|Asthma symptoms wheeze", US_national_yearly!$D:$AM, 30, FALSE) / VLOOKUP("buildings|PM25|Asthma symptoms wheeze", US_national_yearly!$D:$AM, 10, FALSE), 1)</f>
        <v>4.0450681258160495E-2</v>
      </c>
      <c r="W8" s="7">
        <f>$B8 * IFERROR(VLOOKUP("buildings|PM25|Asthma symptoms wheeze", US_national_yearly!$D:$AM, 31, FALSE) / VLOOKUP("buildings|PM25|Asthma symptoms wheeze", US_national_yearly!$D:$AM, 10, FALSE), 1)</f>
        <v>4.0450681258160495E-2</v>
      </c>
      <c r="X8" s="7">
        <f>$B8 * IFERROR(VLOOKUP("buildings|PM25|Asthma symptoms wheeze", US_national_yearly!$D:$AM, 32, FALSE) / VLOOKUP("buildings|PM25|Asthma symptoms wheeze", US_national_yearly!$D:$AM, 10, FALSE), 1)</f>
        <v>4.0450681258160495E-2</v>
      </c>
      <c r="Y8" s="7">
        <f>$B8 * IFERROR(VLOOKUP("buildings|PM25|Asthma symptoms wheeze", US_national_yearly!$D:$AM, 33, FALSE) / VLOOKUP("buildings|PM25|Asthma symptoms wheeze", US_national_yearly!$D:$AM, 10, FALSE), 1)</f>
        <v>4.0450681258160495E-2</v>
      </c>
      <c r="Z8" s="7">
        <f>$B8 * IFERROR(VLOOKUP("buildings|PM25|Asthma symptoms wheeze", US_national_yearly!$D:$AM, 34, FALSE) / VLOOKUP("buildings|PM25|Asthma symptoms wheeze", US_national_yearly!$D:$AM, 10, FALSE), 1)</f>
        <v>4.0450681258160495E-2</v>
      </c>
      <c r="AA8" s="7">
        <f>$B8 * IFERROR(VLOOKUP("buildings|PM25|Asthma symptoms wheeze", US_national_yearly!$D:$AM, 35, FALSE) / VLOOKUP("buildings|PM25|Asthma symptoms wheeze", US_national_yearly!$D:$AM, 10, FALSE), 1)</f>
        <v>4.0450681258160495E-2</v>
      </c>
      <c r="AB8" s="7">
        <f>$B8 * IFERROR(VLOOKUP("buildings|PM25|Asthma symptoms wheeze", US_national_yearly!$D:$AM, 36, FALSE) / VLOOKUP("buildings|PM25|Asthma symptoms wheeze", US_national_yearly!$D:$AM, 10, FALSE), 1)</f>
        <v>4.0450681258160495E-2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6.8489855050547386E-4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6.8884641962682137E-4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6.9279428874816909E-4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6.9674215786951681E-4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7.0069002699086453E-4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7.0495014353628245E-4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7.0921026008170037E-4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7.1326201615139358E-4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7.1731377222108669E-4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7.2136552829077979E-4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7.25417284360473E-4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7.2946904043016611E-4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7.3238335064531668E-4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7.3529766086046725E-4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7.3821197107561782E-4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7.4112628129076828E-4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7.4404059150591886E-4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7.4681726733044976E-4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7.4959394315498099E-4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7.52370618979512E-4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7.551472948040429E-4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7.5792397062857423E-4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7.6060579932207936E-4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7.6328762801558471E-4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7.6596945670908995E-4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7.686512854025953E-4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7.7133311409610054E-4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3.1055447172511912E-3</v>
      </c>
      <c r="C13" s="7">
        <f>$B13 * IFERROR(VLOOKUP("buildings|PM25|Non-fatal heart attacks", US_national_yearly!$D:$AM, 11, FALSE) / VLOOKUP("buildings|PM25|Non-fatal heart attacks", US_national_yearly!$D:$AM, 10, FALSE), 1)</f>
        <v>3.195873879785289E-3</v>
      </c>
      <c r="D13" s="7">
        <f>$B13 * IFERROR(VLOOKUP("buildings|PM25|Non-fatal heart attacks", US_national_yearly!$D:$AM, 12, FALSE) / VLOOKUP("buildings|PM25|Non-fatal heart attacks", US_national_yearly!$D:$AM, 10, FALSE), 1)</f>
        <v>3.2862030423193864E-3</v>
      </c>
      <c r="E13" s="7">
        <f>$B13 * IFERROR(VLOOKUP("buildings|PM25|Non-fatal heart attacks", US_national_yearly!$D:$AM, 13, FALSE) / VLOOKUP("buildings|PM25|Non-fatal heart attacks", US_national_yearly!$D:$AM, 10, FALSE), 1)</f>
        <v>3.3765322048534838E-3</v>
      </c>
      <c r="F13" s="7">
        <f>$B13 * IFERROR(VLOOKUP("buildings|PM25|Non-fatal heart attacks", US_national_yearly!$D:$AM, 14, FALSE) / VLOOKUP("buildings|PM25|Non-fatal heart attacks", US_national_yearly!$D:$AM, 10, FALSE), 1)</f>
        <v>3.4668613673875821E-3</v>
      </c>
      <c r="G13" s="7">
        <f>$B13 * IFERROR(VLOOKUP("buildings|PM25|Non-fatal heart attacks", US_national_yearly!$D:$AM, 15, FALSE) / VLOOKUP("buildings|PM25|Non-fatal heart attacks", US_national_yearly!$D:$AM, 10, FALSE), 1)</f>
        <v>3.5520920914037983E-3</v>
      </c>
      <c r="H13" s="7">
        <f>$B13 * IFERROR(VLOOKUP("buildings|PM25|Non-fatal heart attacks", US_national_yearly!$D:$AM, 16, FALSE) / VLOOKUP("buildings|PM25|Non-fatal heart attacks", US_national_yearly!$D:$AM, 10, FALSE), 1)</f>
        <v>3.6373228154200129E-3</v>
      </c>
      <c r="I13" s="7">
        <f>$B13 * IFERROR(VLOOKUP("buildings|PM25|Non-fatal heart attacks", US_national_yearly!$D:$AM, 17, FALSE) / VLOOKUP("buildings|PM25|Non-fatal heart attacks", US_national_yearly!$D:$AM, 10, FALSE), 1)</f>
        <v>3.7058975526626597E-3</v>
      </c>
      <c r="J13" s="7">
        <f>$B13 * IFERROR(VLOOKUP("buildings|PM25|Non-fatal heart attacks", US_national_yearly!$D:$AM, 18, FALSE) / VLOOKUP("buildings|PM25|Non-fatal heart attacks", US_national_yearly!$D:$AM, 10, FALSE), 1)</f>
        <v>3.7744722899053064E-3</v>
      </c>
      <c r="K13" s="7">
        <f>$B13 * IFERROR(VLOOKUP("buildings|PM25|Non-fatal heart attacks", US_national_yearly!$D:$AM, 19, FALSE) / VLOOKUP("buildings|PM25|Non-fatal heart attacks", US_national_yearly!$D:$AM, 10, FALSE), 1)</f>
        <v>3.8430470271479523E-3</v>
      </c>
      <c r="L13" s="7">
        <f>$B13 * IFERROR(VLOOKUP("buildings|PM25|Non-fatal heart attacks", US_national_yearly!$D:$AM, 20, FALSE) / VLOOKUP("buildings|PM25|Non-fatal heart attacks", US_national_yearly!$D:$AM, 10, FALSE), 1)</f>
        <v>3.9116217643905982E-3</v>
      </c>
      <c r="M13" s="7">
        <f>$B13 * IFERROR(VLOOKUP("buildings|PM25|Non-fatal heart attacks", US_national_yearly!$D:$AM, 21, FALSE) / VLOOKUP("buildings|PM25|Non-fatal heart attacks", US_national_yearly!$D:$AM, 10, FALSE), 1)</f>
        <v>3.9801965016332446E-3</v>
      </c>
      <c r="N13" s="7">
        <f>$B13 * IFERROR(VLOOKUP("buildings|PM25|Non-fatal heart attacks", US_national_yearly!$D:$AM, 22, FALSE) / VLOOKUP("buildings|PM25|Non-fatal heart attacks", US_national_yearly!$D:$AM, 10, FALSE), 1)</f>
        <v>4.0244968532542405E-3</v>
      </c>
      <c r="O13" s="7">
        <f>$B13 * IFERROR(VLOOKUP("buildings|PM25|Non-fatal heart attacks", US_national_yearly!$D:$AM, 23, FALSE) / VLOOKUP("buildings|PM25|Non-fatal heart attacks", US_national_yearly!$D:$AM, 10, FALSE), 1)</f>
        <v>4.0687972048752347E-3</v>
      </c>
      <c r="P13" s="7">
        <f>$B13 * IFERROR(VLOOKUP("buildings|PM25|Non-fatal heart attacks", US_national_yearly!$D:$AM, 24, FALSE) / VLOOKUP("buildings|PM25|Non-fatal heart attacks", US_national_yearly!$D:$AM, 10, FALSE), 1)</f>
        <v>4.1130975564962298E-3</v>
      </c>
      <c r="Q13" s="7">
        <f>$B13 * IFERROR(VLOOKUP("buildings|PM25|Non-fatal heart attacks", US_national_yearly!$D:$AM, 25, FALSE) / VLOOKUP("buildings|PM25|Non-fatal heart attacks", US_national_yearly!$D:$AM, 10, FALSE), 1)</f>
        <v>4.1573979081172248E-3</v>
      </c>
      <c r="R13" s="7">
        <f>$B13 * IFERROR(VLOOKUP("buildings|PM25|Non-fatal heart attacks", US_national_yearly!$D:$AM, 26, FALSE) / VLOOKUP("buildings|PM25|Non-fatal heart attacks", US_national_yearly!$D:$AM, 10, FALSE), 1)</f>
        <v>4.2016982597382199E-3</v>
      </c>
      <c r="S13" s="7">
        <f>$B13 * IFERROR(VLOOKUP("buildings|PM25|Non-fatal heart attacks", US_national_yearly!$D:$AM, 27, FALSE) / VLOOKUP("buildings|PM25|Non-fatal heart attacks", US_national_yearly!$D:$AM, 10, FALSE), 1)</f>
        <v>4.2251291384196024E-3</v>
      </c>
      <c r="T13" s="7">
        <f>$B13 * IFERROR(VLOOKUP("buildings|PM25|Non-fatal heart attacks", US_national_yearly!$D:$AM, 28, FALSE) / VLOOKUP("buildings|PM25|Non-fatal heart attacks", US_national_yearly!$D:$AM, 10, FALSE), 1)</f>
        <v>4.2485600171009849E-3</v>
      </c>
      <c r="U13" s="7">
        <f>$B13 * IFERROR(VLOOKUP("buildings|PM25|Non-fatal heart attacks", US_national_yearly!$D:$AM, 29, FALSE) / VLOOKUP("buildings|PM25|Non-fatal heart attacks", US_national_yearly!$D:$AM, 10, FALSE), 1)</f>
        <v>4.2719908957823674E-3</v>
      </c>
      <c r="V13" s="7">
        <f>$B13 * IFERROR(VLOOKUP("buildings|PM25|Non-fatal heart attacks", US_national_yearly!$D:$AM, 30, FALSE) / VLOOKUP("buildings|PM25|Non-fatal heart attacks", US_national_yearly!$D:$AM, 10, FALSE), 1)</f>
        <v>4.295421774463749E-3</v>
      </c>
      <c r="W13" s="7">
        <f>$B13 * IFERROR(VLOOKUP("buildings|PM25|Non-fatal heart attacks", US_national_yearly!$D:$AM, 31, FALSE) / VLOOKUP("buildings|PM25|Non-fatal heart attacks", US_national_yearly!$D:$AM, 10, FALSE), 1)</f>
        <v>4.3188526531451315E-3</v>
      </c>
      <c r="X13" s="7">
        <f>$B13 * IFERROR(VLOOKUP("buildings|PM25|Non-fatal heart attacks", US_national_yearly!$D:$AM, 32, FALSE) / VLOOKUP("buildings|PM25|Non-fatal heart attacks", US_national_yearly!$D:$AM, 10, FALSE), 1)</f>
        <v>4.3366852631737431E-3</v>
      </c>
      <c r="Y13" s="7">
        <f>$B13 * IFERROR(VLOOKUP("buildings|PM25|Non-fatal heart attacks", US_national_yearly!$D:$AM, 33, FALSE) / VLOOKUP("buildings|PM25|Non-fatal heart attacks", US_national_yearly!$D:$AM, 10, FALSE), 1)</f>
        <v>4.3545178732023546E-3</v>
      </c>
      <c r="Z13" s="7">
        <f>$B13 * IFERROR(VLOOKUP("buildings|PM25|Non-fatal heart attacks", US_national_yearly!$D:$AM, 34, FALSE) / VLOOKUP("buildings|PM25|Non-fatal heart attacks", US_national_yearly!$D:$AM, 10, FALSE), 1)</f>
        <v>4.3723504832309653E-3</v>
      </c>
      <c r="AA13" s="7">
        <f>$B13 * IFERROR(VLOOKUP("buildings|PM25|Non-fatal heart attacks", US_national_yearly!$D:$AM, 35, FALSE) / VLOOKUP("buildings|PM25|Non-fatal heart attacks", US_national_yearly!$D:$AM, 10, FALSE), 1)</f>
        <v>4.3901830932595769E-3</v>
      </c>
      <c r="AB13" s="7">
        <f>$B13 * IFERROR(VLOOKUP("buildings|PM25|Non-fatal heart attacks", US_national_yearly!$D:$AM, 36, FALSE) / VLOOKUP("buildings|PM25|Non-fatal heart attacks", US_national_yearly!$D:$AM, 10, FALSE), 1)</f>
        <v>4.4080157032881893E-3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2.3084408742497593</v>
      </c>
      <c r="C14" s="7">
        <f>$B14 * IFERROR(VLOOKUP("buildings|PM25|Minor restricted activity days", US_national_yearly!$D:$AM, 11, FALSE) / VLOOKUP("buildings|PM25|Minor restricted activity days", US_national_yearly!$D:$AM, 10, FALSE), 1)</f>
        <v>2.3141820961208843</v>
      </c>
      <c r="D14" s="7">
        <f>$B14 * IFERROR(VLOOKUP("buildings|PM25|Minor restricted activity days", US_national_yearly!$D:$AM, 12, FALSE) / VLOOKUP("buildings|PM25|Minor restricted activity days", US_national_yearly!$D:$AM, 10, FALSE), 1)</f>
        <v>2.3199233179920093</v>
      </c>
      <c r="E14" s="7">
        <f>$B14 * IFERROR(VLOOKUP("buildings|PM25|Minor restricted activity days", US_national_yearly!$D:$AM, 13, FALSE) / VLOOKUP("buildings|PM25|Minor restricted activity days", US_national_yearly!$D:$AM, 10, FALSE), 1)</f>
        <v>2.3256645398631339</v>
      </c>
      <c r="F14" s="7">
        <f>$B14 * IFERROR(VLOOKUP("buildings|PM25|Minor restricted activity days", US_national_yearly!$D:$AM, 14, FALSE) / VLOOKUP("buildings|PM25|Minor restricted activity days", US_national_yearly!$D:$AM, 10, FALSE), 1)</f>
        <v>2.3314057617342585</v>
      </c>
      <c r="G14" s="7">
        <f>$B14 * IFERROR(VLOOKUP("buildings|PM25|Minor restricted activity days", US_national_yearly!$D:$AM, 15, FALSE) / VLOOKUP("buildings|PM25|Minor restricted activity days", US_national_yearly!$D:$AM, 10, FALSE), 1)</f>
        <v>2.3398263910595909</v>
      </c>
      <c r="H14" s="7">
        <f>$B14 * IFERROR(VLOOKUP("buildings|PM25|Minor restricted activity days", US_national_yearly!$D:$AM, 16, FALSE) / VLOOKUP("buildings|PM25|Minor restricted activity days", US_national_yearly!$D:$AM, 10, FALSE), 1)</f>
        <v>2.3482470203849224</v>
      </c>
      <c r="I14" s="7">
        <f>$B14 * IFERROR(VLOOKUP("buildings|PM25|Minor restricted activity days", US_national_yearly!$D:$AM, 17, FALSE) / VLOOKUP("buildings|PM25|Minor restricted activity days", US_national_yearly!$D:$AM, 10, FALSE), 1)</f>
        <v>2.3625658702683219</v>
      </c>
      <c r="J14" s="7">
        <f>$B14 * IFERROR(VLOOKUP("buildings|PM25|Minor restricted activity days", US_national_yearly!$D:$AM, 18, FALSE) / VLOOKUP("buildings|PM25|Minor restricted activity days", US_national_yearly!$D:$AM, 10, FALSE), 1)</f>
        <v>2.3768847201517223</v>
      </c>
      <c r="K14" s="7">
        <f>$B14 * IFERROR(VLOOKUP("buildings|PM25|Minor restricted activity days", US_national_yearly!$D:$AM, 19, FALSE) / VLOOKUP("buildings|PM25|Minor restricted activity days", US_national_yearly!$D:$AM, 10, FALSE), 1)</f>
        <v>2.3912035700351209</v>
      </c>
      <c r="L14" s="7">
        <f>$B14 * IFERROR(VLOOKUP("buildings|PM25|Minor restricted activity days", US_national_yearly!$D:$AM, 20, FALSE) / VLOOKUP("buildings|PM25|Minor restricted activity days", US_national_yearly!$D:$AM, 10, FALSE), 1)</f>
        <v>2.4055224199185199</v>
      </c>
      <c r="M14" s="7">
        <f>$B14 * IFERROR(VLOOKUP("buildings|PM25|Minor restricted activity days", US_national_yearly!$D:$AM, 21, FALSE) / VLOOKUP("buildings|PM25|Minor restricted activity days", US_national_yearly!$D:$AM, 10, FALSE), 1)</f>
        <v>2.4198412698019189</v>
      </c>
      <c r="N14" s="7">
        <f>$B14 * IFERROR(VLOOKUP("buildings|PM25|Minor restricted activity days", US_national_yearly!$D:$AM, 22, FALSE) / VLOOKUP("buildings|PM25|Minor restricted activity days", US_national_yearly!$D:$AM, 10, FALSE), 1)</f>
        <v>2.4392971321748269</v>
      </c>
      <c r="O14" s="7">
        <f>$B14 * IFERROR(VLOOKUP("buildings|PM25|Minor restricted activity days", US_national_yearly!$D:$AM, 23, FALSE) / VLOOKUP("buildings|PM25|Minor restricted activity days", US_national_yearly!$D:$AM, 10, FALSE), 1)</f>
        <v>2.458752994547734</v>
      </c>
      <c r="P14" s="7">
        <f>$B14 * IFERROR(VLOOKUP("buildings|PM25|Minor restricted activity days", US_national_yearly!$D:$AM, 24, FALSE) / VLOOKUP("buildings|PM25|Minor restricted activity days", US_national_yearly!$D:$AM, 10, FALSE), 1)</f>
        <v>2.4782088569206415</v>
      </c>
      <c r="Q14" s="7">
        <f>$B14 * IFERROR(VLOOKUP("buildings|PM25|Minor restricted activity days", US_national_yearly!$D:$AM, 25, FALSE) / VLOOKUP("buildings|PM25|Minor restricted activity days", US_national_yearly!$D:$AM, 10, FALSE), 1)</f>
        <v>2.4976647192935486</v>
      </c>
      <c r="R14" s="7">
        <f>$B14 * IFERROR(VLOOKUP("buildings|PM25|Minor restricted activity days", US_national_yearly!$D:$AM, 26, FALSE) / VLOOKUP("buildings|PM25|Minor restricted activity days", US_national_yearly!$D:$AM, 10, FALSE), 1)</f>
        <v>2.5171205816664557</v>
      </c>
      <c r="S14" s="7">
        <f>$B14 * IFERROR(VLOOKUP("buildings|PM25|Minor restricted activity days", US_national_yearly!$D:$AM, 27, FALSE) / VLOOKUP("buildings|PM25|Minor restricted activity days", US_national_yearly!$D:$AM, 10, FALSE), 1)</f>
        <v>2.536697013070957</v>
      </c>
      <c r="T14" s="7">
        <f>$B14 * IFERROR(VLOOKUP("buildings|PM25|Minor restricted activity days", US_national_yearly!$D:$AM, 28, FALSE) / VLOOKUP("buildings|PM25|Minor restricted activity days", US_national_yearly!$D:$AM, 10, FALSE), 1)</f>
        <v>2.5562734444754573</v>
      </c>
      <c r="U14" s="7">
        <f>$B14 * IFERROR(VLOOKUP("buildings|PM25|Minor restricted activity days", US_national_yearly!$D:$AM, 29, FALSE) / VLOOKUP("buildings|PM25|Minor restricted activity days", US_national_yearly!$D:$AM, 10, FALSE), 1)</f>
        <v>2.5758498758799582</v>
      </c>
      <c r="V14" s="7">
        <f>$B14 * IFERROR(VLOOKUP("buildings|PM25|Minor restricted activity days", US_national_yearly!$D:$AM, 30, FALSE) / VLOOKUP("buildings|PM25|Minor restricted activity days", US_national_yearly!$D:$AM, 10, FALSE), 1)</f>
        <v>2.5954263072844586</v>
      </c>
      <c r="W14" s="7">
        <f>$B14 * IFERROR(VLOOKUP("buildings|PM25|Minor restricted activity days", US_national_yearly!$D:$AM, 31, FALSE) / VLOOKUP("buildings|PM25|Minor restricted activity days", US_national_yearly!$D:$AM, 10, FALSE), 1)</f>
        <v>2.6150027386889594</v>
      </c>
      <c r="X14" s="7">
        <f>$B14 * IFERROR(VLOOKUP("buildings|PM25|Minor restricted activity days", US_national_yearly!$D:$AM, 32, FALSE) / VLOOKUP("buildings|PM25|Minor restricted activity days", US_national_yearly!$D:$AM, 10, FALSE), 1)</f>
        <v>2.6320010635167717</v>
      </c>
      <c r="Y14" s="7">
        <f>$B14 * IFERROR(VLOOKUP("buildings|PM25|Minor restricted activity days", US_national_yearly!$D:$AM, 33, FALSE) / VLOOKUP("buildings|PM25|Minor restricted activity days", US_national_yearly!$D:$AM, 10, FALSE), 1)</f>
        <v>2.648999388344583</v>
      </c>
      <c r="Z14" s="7">
        <f>$B14 * IFERROR(VLOOKUP("buildings|PM25|Minor restricted activity days", US_national_yearly!$D:$AM, 34, FALSE) / VLOOKUP("buildings|PM25|Minor restricted activity days", US_national_yearly!$D:$AM, 10, FALSE), 1)</f>
        <v>2.665997713172394</v>
      </c>
      <c r="AA14" s="7">
        <f>$B14 * IFERROR(VLOOKUP("buildings|PM25|Minor restricted activity days", US_national_yearly!$D:$AM, 35, FALSE) / VLOOKUP("buildings|PM25|Minor restricted activity days", US_national_yearly!$D:$AM, 10, FALSE), 1)</f>
        <v>2.6829960380002054</v>
      </c>
      <c r="AB14" s="7">
        <f>$B14 * IFERROR(VLOOKUP("buildings|PM25|Minor restricted activity days", US_national_yearly!$D:$AM, 36, FALSE) / VLOOKUP("buildings|PM25|Minor restricted activity days", US_national_yearly!$D:$AM, 10, FALSE), 1)</f>
        <v>2.6999943628280167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0.39045320269535239</v>
      </c>
      <c r="C15" s="7">
        <f>$B15 * IFERROR(VLOOKUP("buildings|PM25|Work loss days", US_national_yearly!$D:$AM, 11, FALSE) / VLOOKUP("buildings|PM25|Work loss days", US_national_yearly!$D:$AM, 10, FALSE), 1)</f>
        <v>0.39167852905059447</v>
      </c>
      <c r="D15" s="7">
        <f>$B15 * IFERROR(VLOOKUP("buildings|PM25|Work loss days", US_national_yearly!$D:$AM, 12, FALSE) / VLOOKUP("buildings|PM25|Work loss days", US_national_yearly!$D:$AM, 10, FALSE), 1)</f>
        <v>0.39290385540583644</v>
      </c>
      <c r="E15" s="7">
        <f>$B15 * IFERROR(VLOOKUP("buildings|PM25|Work loss days", US_national_yearly!$D:$AM, 13, FALSE) / VLOOKUP("buildings|PM25|Work loss days", US_national_yearly!$D:$AM, 10, FALSE), 1)</f>
        <v>0.39412918176107842</v>
      </c>
      <c r="F15" s="7">
        <f>$B15 * IFERROR(VLOOKUP("buildings|PM25|Work loss days", US_national_yearly!$D:$AM, 14, FALSE) / VLOOKUP("buildings|PM25|Work loss days", US_national_yearly!$D:$AM, 10, FALSE), 1)</f>
        <v>0.39535450811632039</v>
      </c>
      <c r="G15" s="7">
        <f>$B15 * IFERROR(VLOOKUP("buildings|PM25|Work loss days", US_national_yearly!$D:$AM, 15, FALSE) / VLOOKUP("buildings|PM25|Work loss days", US_national_yearly!$D:$AM, 10, FALSE), 1)</f>
        <v>0.3969561194691863</v>
      </c>
      <c r="H15" s="7">
        <f>$B15 * IFERROR(VLOOKUP("buildings|PM25|Work loss days", US_national_yearly!$D:$AM, 16, FALSE) / VLOOKUP("buildings|PM25|Work loss days", US_national_yearly!$D:$AM, 10, FALSE), 1)</f>
        <v>0.3985577308220522</v>
      </c>
      <c r="I15" s="7">
        <f>$B15 * IFERROR(VLOOKUP("buildings|PM25|Work loss days", US_national_yearly!$D:$AM, 17, FALSE) / VLOOKUP("buildings|PM25|Work loss days", US_national_yearly!$D:$AM, 10, FALSE), 1)</f>
        <v>0.40090996345009033</v>
      </c>
      <c r="J15" s="7">
        <f>$B15 * IFERROR(VLOOKUP("buildings|PM25|Work loss days", US_national_yearly!$D:$AM, 18, FALSE) / VLOOKUP("buildings|PM25|Work loss days", US_national_yearly!$D:$AM, 10, FALSE), 1)</f>
        <v>0.40326219607812841</v>
      </c>
      <c r="K15" s="7">
        <f>$B15 * IFERROR(VLOOKUP("buildings|PM25|Work loss days", US_national_yearly!$D:$AM, 19, FALSE) / VLOOKUP("buildings|PM25|Work loss days", US_national_yearly!$D:$AM, 10, FALSE), 1)</f>
        <v>0.40561442870616654</v>
      </c>
      <c r="L15" s="7">
        <f>$B15 * IFERROR(VLOOKUP("buildings|PM25|Work loss days", US_national_yearly!$D:$AM, 20, FALSE) / VLOOKUP("buildings|PM25|Work loss days", US_national_yearly!$D:$AM, 10, FALSE), 1)</f>
        <v>0.40796666133420462</v>
      </c>
      <c r="M15" s="7">
        <f>$B15 * IFERROR(VLOOKUP("buildings|PM25|Work loss days", US_national_yearly!$D:$AM, 21, FALSE) / VLOOKUP("buildings|PM25|Work loss days", US_national_yearly!$D:$AM, 10, FALSE), 1)</f>
        <v>0.41031889396224286</v>
      </c>
      <c r="N15" s="7">
        <f>$B15 * IFERROR(VLOOKUP("buildings|PM25|Work loss days", US_national_yearly!$D:$AM, 22, FALSE) / VLOOKUP("buildings|PM25|Work loss days", US_national_yearly!$D:$AM, 10, FALSE), 1)</f>
        <v>0.41327627472511408</v>
      </c>
      <c r="O15" s="7">
        <f>$B15 * IFERROR(VLOOKUP("buildings|PM25|Work loss days", US_national_yearly!$D:$AM, 23, FALSE) / VLOOKUP("buildings|PM25|Work loss days", US_national_yearly!$D:$AM, 10, FALSE), 1)</f>
        <v>0.41623365548798541</v>
      </c>
      <c r="P15" s="7">
        <f>$B15 * IFERROR(VLOOKUP("buildings|PM25|Work loss days", US_national_yearly!$D:$AM, 24, FALSE) / VLOOKUP("buildings|PM25|Work loss days", US_national_yearly!$D:$AM, 10, FALSE), 1)</f>
        <v>0.41919103625085669</v>
      </c>
      <c r="Q15" s="7">
        <f>$B15 * IFERROR(VLOOKUP("buildings|PM25|Work loss days", US_national_yearly!$D:$AM, 25, FALSE) / VLOOKUP("buildings|PM25|Work loss days", US_national_yearly!$D:$AM, 10, FALSE), 1)</f>
        <v>0.42214841701372796</v>
      </c>
      <c r="R15" s="7">
        <f>$B15 * IFERROR(VLOOKUP("buildings|PM25|Work loss days", US_national_yearly!$D:$AM, 26, FALSE) / VLOOKUP("buildings|PM25|Work loss days", US_national_yearly!$D:$AM, 10, FALSE), 1)</f>
        <v>0.42510579777659929</v>
      </c>
      <c r="S15" s="7">
        <f>$B15 * IFERROR(VLOOKUP("buildings|PM25|Work loss days", US_national_yearly!$D:$AM, 27, FALSE) / VLOOKUP("buildings|PM25|Work loss days", US_national_yearly!$D:$AM, 10, FALSE), 1)</f>
        <v>0.42837259238255709</v>
      </c>
      <c r="T15" s="7">
        <f>$B15 * IFERROR(VLOOKUP("buildings|PM25|Work loss days", US_national_yearly!$D:$AM, 28, FALSE) / VLOOKUP("buildings|PM25|Work loss days", US_national_yearly!$D:$AM, 10, FALSE), 1)</f>
        <v>0.43163938698851495</v>
      </c>
      <c r="U15" s="7">
        <f>$B15 * IFERROR(VLOOKUP("buildings|PM25|Work loss days", US_national_yearly!$D:$AM, 29, FALSE) / VLOOKUP("buildings|PM25|Work loss days", US_national_yearly!$D:$AM, 10, FALSE), 1)</f>
        <v>0.43490618159447286</v>
      </c>
      <c r="V15" s="7">
        <f>$B15 * IFERROR(VLOOKUP("buildings|PM25|Work loss days", US_national_yearly!$D:$AM, 30, FALSE) / VLOOKUP("buildings|PM25|Work loss days", US_national_yearly!$D:$AM, 10, FALSE), 1)</f>
        <v>0.43817297620043066</v>
      </c>
      <c r="W15" s="7">
        <f>$B15 * IFERROR(VLOOKUP("buildings|PM25|Work loss days", US_national_yearly!$D:$AM, 31, FALSE) / VLOOKUP("buildings|PM25|Work loss days", US_national_yearly!$D:$AM, 10, FALSE), 1)</f>
        <v>0.44143977080638852</v>
      </c>
      <c r="X15" s="7">
        <f>$B15 * IFERROR(VLOOKUP("buildings|PM25|Work loss days", US_national_yearly!$D:$AM, 32, FALSE) / VLOOKUP("buildings|PM25|Work loss days", US_national_yearly!$D:$AM, 10, FALSE), 1)</f>
        <v>0.44433873966290788</v>
      </c>
      <c r="Y15" s="7">
        <f>$B15 * IFERROR(VLOOKUP("buildings|PM25|Work loss days", US_national_yearly!$D:$AM, 33, FALSE) / VLOOKUP("buildings|PM25|Work loss days", US_national_yearly!$D:$AM, 10, FALSE), 1)</f>
        <v>0.44723770851942735</v>
      </c>
      <c r="Z15" s="7">
        <f>$B15 * IFERROR(VLOOKUP("buildings|PM25|Work loss days", US_national_yearly!$D:$AM, 34, FALSE) / VLOOKUP("buildings|PM25|Work loss days", US_national_yearly!$D:$AM, 10, FALSE), 1)</f>
        <v>0.4501366773759467</v>
      </c>
      <c r="AA15" s="7">
        <f>$B15 * IFERROR(VLOOKUP("buildings|PM25|Work loss days", US_national_yearly!$D:$AM, 35, FALSE) / VLOOKUP("buildings|PM25|Work loss days", US_national_yearly!$D:$AM, 10, FALSE), 1)</f>
        <v>0.45303564623246612</v>
      </c>
      <c r="AB15" s="7">
        <f>$B15 * IFERROR(VLOOKUP("buildings|PM25|Work loss days", US_national_yearly!$D:$AM, 36, FALSE) / VLOOKUP("buildings|PM25|Work loss days", US_national_yearly!$D:$AM, 10, FALSE), 1)</f>
        <v>0.45593461508898547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5.9246309685737596E-4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6.1016965437964003E-4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6.278762119019042E-4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6.4558276942416816E-4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6.6328932694643234E-4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6.8025488931673672E-4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6.972204516870412E-4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7.1174453404532515E-4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7.2626861640360911E-4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7.4079269876189328E-4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7.5531678112017735E-4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7.6984086347846152E-4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7.7953933108535314E-4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7.8923779869224497E-4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7.989362662991367E-4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8.0863473390602853E-4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8.1833320151292026E-4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8.2348664171983928E-4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8.286400819267583E-4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8.3379352213367743E-4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8.3894696234059634E-4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8.4410040254751558E-4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8.4758493461724576E-4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8.5106946668697572E-4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8.5455399875670589E-4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8.5803853082643596E-4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8.6152306289616603E-4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3.5139199921125941E-4</v>
      </c>
      <c r="C2" s="7">
        <f>$B2 * IFERROR(VLOOKUP("buildings|NOx|Premature mortality", US_national_yearly!$D:$AM, 11, FALSE) / VLOOKUP("buildings|NOx|Premature mortality", US_national_yearly!$D:$AM, 10, FALSE), 1)</f>
        <v>3.5656051306590396E-4</v>
      </c>
      <c r="D2" s="7">
        <f>$B2 * IFERROR(VLOOKUP("buildings|NOx|Premature mortality", US_national_yearly!$D:$AM, 12, FALSE) / VLOOKUP("buildings|NOx|Premature mortality", US_national_yearly!$D:$AM, 10, FALSE), 1)</f>
        <v>3.617290269205484E-4</v>
      </c>
      <c r="E2" s="7">
        <f>$B2 * IFERROR(VLOOKUP("buildings|NOx|Premature mortality", US_national_yearly!$D:$AM, 13, FALSE) / VLOOKUP("buildings|NOx|Premature mortality", US_national_yearly!$D:$AM, 10, FALSE), 1)</f>
        <v>3.6689754077519294E-4</v>
      </c>
      <c r="F2" s="7">
        <f>$B2 * IFERROR(VLOOKUP("buildings|NOx|Premature mortality", US_national_yearly!$D:$AM, 14, FALSE) / VLOOKUP("buildings|NOx|Premature mortality", US_national_yearly!$D:$AM, 10, FALSE), 1)</f>
        <v>3.7206605462983738E-4</v>
      </c>
      <c r="G2" s="7">
        <f>$B2 * IFERROR(VLOOKUP("buildings|NOx|Premature mortality", US_national_yearly!$D:$AM, 15, FALSE) / VLOOKUP("buildings|NOx|Premature mortality", US_national_yearly!$D:$AM, 10, FALSE), 1)</f>
        <v>3.8134540991492162E-4</v>
      </c>
      <c r="H2" s="7">
        <f>$B2 * IFERROR(VLOOKUP("buildings|NOx|Premature mortality", US_national_yearly!$D:$AM, 16, FALSE) / VLOOKUP("buildings|NOx|Premature mortality", US_national_yearly!$D:$AM, 10, FALSE), 1)</f>
        <v>3.9062476520000596E-4</v>
      </c>
      <c r="I2" s="7">
        <f>$B2 * IFERROR(VLOOKUP("buildings|NOx|Premature mortality", US_national_yearly!$D:$AM, 17, FALSE) / VLOOKUP("buildings|NOx|Premature mortality", US_national_yearly!$D:$AM, 10, FALSE), 1)</f>
        <v>3.9662158444424782E-4</v>
      </c>
      <c r="J2" s="7">
        <f>$B2 * IFERROR(VLOOKUP("buildings|NOx|Premature mortality", US_national_yearly!$D:$AM, 18, FALSE) / VLOOKUP("buildings|NOx|Premature mortality", US_national_yearly!$D:$AM, 10, FALSE), 1)</f>
        <v>4.0261840368848958E-4</v>
      </c>
      <c r="K2" s="7">
        <f>$B2 * IFERROR(VLOOKUP("buildings|NOx|Premature mortality", US_national_yearly!$D:$AM, 19, FALSE) / VLOOKUP("buildings|NOx|Premature mortality", US_national_yearly!$D:$AM, 10, FALSE), 1)</f>
        <v>4.0861522293273144E-4</v>
      </c>
      <c r="L2" s="7">
        <f>$B2 * IFERROR(VLOOKUP("buildings|NOx|Premature mortality", US_national_yearly!$D:$AM, 20, FALSE) / VLOOKUP("buildings|NOx|Premature mortality", US_national_yearly!$D:$AM, 10, FALSE), 1)</f>
        <v>4.1461204217697331E-4</v>
      </c>
      <c r="M2" s="7">
        <f>$B2 * IFERROR(VLOOKUP("buildings|NOx|Premature mortality", US_national_yearly!$D:$AM, 21, FALSE) / VLOOKUP("buildings|NOx|Premature mortality", US_national_yearly!$D:$AM, 10, FALSE), 1)</f>
        <v>4.2060886142121517E-4</v>
      </c>
      <c r="N2" s="7">
        <f>$B2 * IFERROR(VLOOKUP("buildings|NOx|Premature mortality", US_national_yearly!$D:$AM, 22, FALSE) / VLOOKUP("buildings|NOx|Premature mortality", US_national_yearly!$D:$AM, 10, FALSE), 1)</f>
        <v>4.2505227556407057E-4</v>
      </c>
      <c r="O2" s="7">
        <f>$B2 * IFERROR(VLOOKUP("buildings|NOx|Premature mortality", US_national_yearly!$D:$AM, 23, FALSE) / VLOOKUP("buildings|NOx|Premature mortality", US_national_yearly!$D:$AM, 10, FALSE), 1)</f>
        <v>4.2949568970692602E-4</v>
      </c>
      <c r="P2" s="7">
        <f>$B2 * IFERROR(VLOOKUP("buildings|NOx|Premature mortality", US_national_yearly!$D:$AM, 24, FALSE) / VLOOKUP("buildings|NOx|Premature mortality", US_national_yearly!$D:$AM, 10, FALSE), 1)</f>
        <v>4.3393910384978152E-4</v>
      </c>
      <c r="Q2" s="7">
        <f>$B2 * IFERROR(VLOOKUP("buildings|NOx|Premature mortality", US_national_yearly!$D:$AM, 25, FALSE) / VLOOKUP("buildings|NOx|Premature mortality", US_national_yearly!$D:$AM, 10, FALSE), 1)</f>
        <v>4.3838251799263687E-4</v>
      </c>
      <c r="R2" s="7">
        <f>$B2 * IFERROR(VLOOKUP("buildings|NOx|Premature mortality", US_national_yearly!$D:$AM, 26, FALSE) / VLOOKUP("buildings|NOx|Premature mortality", US_national_yearly!$D:$AM, 10, FALSE), 1)</f>
        <v>4.4282593213549237E-4</v>
      </c>
      <c r="S2" s="7">
        <f>$B2 * IFERROR(VLOOKUP("buildings|NOx|Premature mortality", US_national_yearly!$D:$AM, 27, FALSE) / VLOOKUP("buildings|NOx|Premature mortality", US_national_yearly!$D:$AM, 10, FALSE), 1)</f>
        <v>4.4484608338948118E-4</v>
      </c>
      <c r="T2" s="7">
        <f>$B2 * IFERROR(VLOOKUP("buildings|NOx|Premature mortality", US_national_yearly!$D:$AM, 28, FALSE) / VLOOKUP("buildings|NOx|Premature mortality", US_national_yearly!$D:$AM, 10, FALSE), 1)</f>
        <v>4.4686623464346994E-4</v>
      </c>
      <c r="U2" s="7">
        <f>$B2 * IFERROR(VLOOKUP("buildings|NOx|Premature mortality", US_national_yearly!$D:$AM, 29, FALSE) / VLOOKUP("buildings|NOx|Premature mortality", US_national_yearly!$D:$AM, 10, FALSE), 1)</f>
        <v>4.4888638589745875E-4</v>
      </c>
      <c r="V2" s="7">
        <f>$B2 * IFERROR(VLOOKUP("buildings|NOx|Premature mortality", US_national_yearly!$D:$AM, 30, FALSE) / VLOOKUP("buildings|NOx|Premature mortality", US_national_yearly!$D:$AM, 10, FALSE), 1)</f>
        <v>4.5090653715144761E-4</v>
      </c>
      <c r="W2" s="7">
        <f>$B2 * IFERROR(VLOOKUP("buildings|NOx|Premature mortality", US_national_yearly!$D:$AM, 31, FALSE) / VLOOKUP("buildings|NOx|Premature mortality", US_national_yearly!$D:$AM, 10, FALSE), 1)</f>
        <v>4.5292668840543637E-4</v>
      </c>
      <c r="X2" s="7">
        <f>$B2 * IFERROR(VLOOKUP("buildings|NOx|Premature mortality", US_national_yearly!$D:$AM, 32, FALSE) / VLOOKUP("buildings|NOx|Premature mortality", US_national_yearly!$D:$AM, 10, FALSE), 1)</f>
        <v>4.5299783648583797E-4</v>
      </c>
      <c r="Y2" s="7">
        <f>$B2 * IFERROR(VLOOKUP("buildings|NOx|Premature mortality", US_national_yearly!$D:$AM, 33, FALSE) / VLOOKUP("buildings|NOx|Premature mortality", US_national_yearly!$D:$AM, 10, FALSE), 1)</f>
        <v>4.5306898456623962E-4</v>
      </c>
      <c r="Z2" s="7">
        <f>$B2 * IFERROR(VLOOKUP("buildings|NOx|Premature mortality", US_national_yearly!$D:$AM, 34, FALSE) / VLOOKUP("buildings|NOx|Premature mortality", US_national_yearly!$D:$AM, 10, FALSE), 1)</f>
        <v>4.5314013264664122E-4</v>
      </c>
      <c r="AA2" s="7">
        <f>$B2 * IFERROR(VLOOKUP("buildings|NOx|Premature mortality", US_national_yearly!$D:$AM, 35, FALSE) / VLOOKUP("buildings|NOx|Premature mortality", US_national_yearly!$D:$AM, 10, FALSE), 1)</f>
        <v>4.5321128072704276E-4</v>
      </c>
      <c r="AB2" s="7">
        <f>$B2 * IFERROR(VLOOKUP("buildings|NOx|Premature mortality", US_national_yearly!$D:$AM, 36, FALSE) / VLOOKUP("buildings|NOx|Premature mortality", US_national_yearly!$D:$AM, 10, FALSE), 1)</f>
        <v>4.5328242880744447E-4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7.9851584173168816E-7</v>
      </c>
      <c r="C3" s="7">
        <f>$B3 * IFERROR(VLOOKUP("buildings|NOx|Infant mortality", US_national_yearly!$D:$AM, 11, FALSE) / VLOOKUP("buildings|NOx|Infant mortality", US_national_yearly!$D:$AM, 10, FALSE), 1)</f>
        <v>7.9093087840262484E-7</v>
      </c>
      <c r="D3" s="7">
        <f>$B3 * IFERROR(VLOOKUP("buildings|NOx|Infant mortality", US_national_yearly!$D:$AM, 12, FALSE) / VLOOKUP("buildings|NOx|Infant mortality", US_national_yearly!$D:$AM, 10, FALSE), 1)</f>
        <v>7.8334591507356131E-7</v>
      </c>
      <c r="E3" s="7">
        <f>$B3 * IFERROR(VLOOKUP("buildings|NOx|Infant mortality", US_national_yearly!$D:$AM, 13, FALSE) / VLOOKUP("buildings|NOx|Infant mortality", US_national_yearly!$D:$AM, 10, FALSE), 1)</f>
        <v>7.7576095174449798E-7</v>
      </c>
      <c r="F3" s="7">
        <f>$B3 * IFERROR(VLOOKUP("buildings|NOx|Infant mortality", US_national_yearly!$D:$AM, 14, FALSE) / VLOOKUP("buildings|NOx|Infant mortality", US_national_yearly!$D:$AM, 10, FALSE), 1)</f>
        <v>7.6817598841543445E-7</v>
      </c>
      <c r="G3" s="7">
        <f>$B3 * IFERROR(VLOOKUP("buildings|NOx|Infant mortality", US_national_yearly!$D:$AM, 15, FALSE) / VLOOKUP("buildings|NOx|Infant mortality", US_national_yearly!$D:$AM, 10, FALSE), 1)</f>
        <v>5.0986716946599835E-7</v>
      </c>
      <c r="H3" s="7">
        <f>$B3 * IFERROR(VLOOKUP("buildings|NOx|Infant mortality", US_national_yearly!$D:$AM, 16, FALSE) / VLOOKUP("buildings|NOx|Infant mortality", US_national_yearly!$D:$AM, 10, FALSE), 1)</f>
        <v>2.5155835051656226E-7</v>
      </c>
      <c r="I3" s="7">
        <f>$B3 * IFERROR(VLOOKUP("buildings|NOx|Infant mortality", US_national_yearly!$D:$AM, 17, FALSE) / VLOOKUP("buildings|NOx|Infant mortality", US_national_yearly!$D:$AM, 10, FALSE), 1)</f>
        <v>2.4978120186423928E-7</v>
      </c>
      <c r="J3" s="7">
        <f>$B3 * IFERROR(VLOOKUP("buildings|NOx|Infant mortality", US_national_yearly!$D:$AM, 18, FALSE) / VLOOKUP("buildings|NOx|Infant mortality", US_national_yearly!$D:$AM, 10, FALSE), 1)</f>
        <v>2.4800405321191619E-7</v>
      </c>
      <c r="K3" s="7">
        <f>$B3 * IFERROR(VLOOKUP("buildings|NOx|Infant mortality", US_national_yearly!$D:$AM, 19, FALSE) / VLOOKUP("buildings|NOx|Infant mortality", US_national_yearly!$D:$AM, 10, FALSE), 1)</f>
        <v>2.4622690455959316E-7</v>
      </c>
      <c r="L3" s="7">
        <f>$B3 * IFERROR(VLOOKUP("buildings|NOx|Infant mortality", US_national_yearly!$D:$AM, 20, FALSE) / VLOOKUP("buildings|NOx|Infant mortality", US_national_yearly!$D:$AM, 10, FALSE), 1)</f>
        <v>2.4444975590727013E-7</v>
      </c>
      <c r="M3" s="7">
        <f>$B3 * IFERROR(VLOOKUP("buildings|NOx|Infant mortality", US_national_yearly!$D:$AM, 21, FALSE) / VLOOKUP("buildings|NOx|Infant mortality", US_national_yearly!$D:$AM, 10, FALSE), 1)</f>
        <v>2.4267260725494709E-7</v>
      </c>
      <c r="N3" s="7">
        <f>$B3 * IFERROR(VLOOKUP("buildings|NOx|Infant mortality", US_national_yearly!$D:$AM, 22, FALSE) / VLOOKUP("buildings|NOx|Infant mortality", US_national_yearly!$D:$AM, 10, FALSE), 1)</f>
        <v>2.4149499034547565E-7</v>
      </c>
      <c r="O3" s="7">
        <f>$B3 * IFERROR(VLOOKUP("buildings|NOx|Infant mortality", US_national_yearly!$D:$AM, 23, FALSE) / VLOOKUP("buildings|NOx|Infant mortality", US_national_yearly!$D:$AM, 10, FALSE), 1)</f>
        <v>2.4031737343600425E-7</v>
      </c>
      <c r="P3" s="7">
        <f>$B3 * IFERROR(VLOOKUP("buildings|NOx|Infant mortality", US_national_yearly!$D:$AM, 24, FALSE) / VLOOKUP("buildings|NOx|Infant mortality", US_national_yearly!$D:$AM, 10, FALSE), 1)</f>
        <v>2.3913975652653286E-7</v>
      </c>
      <c r="Q3" s="7">
        <f>$B3 * IFERROR(VLOOKUP("buildings|NOx|Infant mortality", US_national_yearly!$D:$AM, 25, FALSE) / VLOOKUP("buildings|NOx|Infant mortality", US_national_yearly!$D:$AM, 10, FALSE), 1)</f>
        <v>2.3796213961706146E-7</v>
      </c>
      <c r="R3" s="7">
        <f>$B3 * IFERROR(VLOOKUP("buildings|NOx|Infant mortality", US_national_yearly!$D:$AM, 26, FALSE) / VLOOKUP("buildings|NOx|Infant mortality", US_national_yearly!$D:$AM, 10, FALSE), 1)</f>
        <v>2.3678452270759004E-7</v>
      </c>
      <c r="S3" s="7">
        <f>$B3 * IFERROR(VLOOKUP("buildings|NOx|Infant mortality", US_national_yearly!$D:$AM, 27, FALSE) / VLOOKUP("buildings|NOx|Infant mortality", US_national_yearly!$D:$AM, 10, FALSE), 1)</f>
        <v>2.3536792477733173E-7</v>
      </c>
      <c r="T3" s="7">
        <f>$B3 * IFERROR(VLOOKUP("buildings|NOx|Infant mortality", US_national_yearly!$D:$AM, 28, FALSE) / VLOOKUP("buildings|NOx|Infant mortality", US_national_yearly!$D:$AM, 10, FALSE), 1)</f>
        <v>2.3395132684707347E-7</v>
      </c>
      <c r="U3" s="7">
        <f>$B3 * IFERROR(VLOOKUP("buildings|NOx|Infant mortality", US_national_yearly!$D:$AM, 29, FALSE) / VLOOKUP("buildings|NOx|Infant mortality", US_national_yearly!$D:$AM, 10, FALSE), 1)</f>
        <v>2.3253472891681515E-7</v>
      </c>
      <c r="V3" s="7">
        <f>$B3 * IFERROR(VLOOKUP("buildings|NOx|Infant mortality", US_national_yearly!$D:$AM, 30, FALSE) / VLOOKUP("buildings|NOx|Infant mortality", US_national_yearly!$D:$AM, 10, FALSE), 1)</f>
        <v>2.3111813098655684E-7</v>
      </c>
      <c r="W3" s="7">
        <f>$B3 * IFERROR(VLOOKUP("buildings|NOx|Infant mortality", US_national_yearly!$D:$AM, 31, FALSE) / VLOOKUP("buildings|NOx|Infant mortality", US_national_yearly!$D:$AM, 10, FALSE), 1)</f>
        <v>2.2970153305629855E-7</v>
      </c>
      <c r="X3" s="7">
        <f>$B3 * IFERROR(VLOOKUP("buildings|NOx|Infant mortality", US_national_yearly!$D:$AM, 32, FALSE) / VLOOKUP("buildings|NOx|Infant mortality", US_national_yearly!$D:$AM, 10, FALSE), 1)</f>
        <v>2.2820264828959314E-7</v>
      </c>
      <c r="Y3" s="7">
        <f>$B3 * IFERROR(VLOOKUP("buildings|NOx|Infant mortality", US_national_yearly!$D:$AM, 33, FALSE) / VLOOKUP("buildings|NOx|Infant mortality", US_national_yearly!$D:$AM, 10, FALSE), 1)</f>
        <v>2.2670376352288776E-7</v>
      </c>
      <c r="Z3" s="7">
        <f>$B3 * IFERROR(VLOOKUP("buildings|NOx|Infant mortality", US_national_yearly!$D:$AM, 34, FALSE) / VLOOKUP("buildings|NOx|Infant mortality", US_national_yearly!$D:$AM, 10, FALSE), 1)</f>
        <v>2.2520487875618236E-7</v>
      </c>
      <c r="AA3" s="7">
        <f>$B3 * IFERROR(VLOOKUP("buildings|NOx|Infant mortality", US_national_yearly!$D:$AM, 35, FALSE) / VLOOKUP("buildings|NOx|Infant mortality", US_national_yearly!$D:$AM, 10, FALSE), 1)</f>
        <v>2.2370599398947695E-7</v>
      </c>
      <c r="AB3" s="7">
        <f>$B3 * IFERROR(VLOOKUP("buildings|NOx|Infant mortality", US_national_yearly!$D:$AM, 36, FALSE) / VLOOKUP("buildings|NOx|Infant mortality", US_national_yearly!$D:$AM, 10, FALSE), 1)</f>
        <v>2.2220710922277152E-7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9.5438619944594846E-4</v>
      </c>
      <c r="C6" s="7">
        <f>$B6 * IFERROR(VLOOKUP("buildings|NOx|Asthma symptoms cough", US_national_yearly!$D:$AM, 11, FALSE) / VLOOKUP("buildings|NOx|Asthma symptoms cough", US_national_yearly!$D:$AM, 10, FALSE), 1)</f>
        <v>9.6744723454252079E-4</v>
      </c>
      <c r="D6" s="7">
        <f>$B6 * IFERROR(VLOOKUP("buildings|NOx|Asthma symptoms cough", US_national_yearly!$D:$AM, 12, FALSE) / VLOOKUP("buildings|NOx|Asthma symptoms cough", US_national_yearly!$D:$AM, 10, FALSE), 1)</f>
        <v>9.8050826963909333E-4</v>
      </c>
      <c r="E6" s="7">
        <f>$B6 * IFERROR(VLOOKUP("buildings|NOx|Asthma symptoms cough", US_national_yearly!$D:$AM, 13, FALSE) / VLOOKUP("buildings|NOx|Asthma symptoms cough", US_national_yearly!$D:$AM, 10, FALSE), 1)</f>
        <v>9.9356930473566566E-4</v>
      </c>
      <c r="F6" s="7">
        <f>$B6 * IFERROR(VLOOKUP("buildings|NOx|Asthma symptoms cough", US_national_yearly!$D:$AM, 14, FALSE) / VLOOKUP("buildings|NOx|Asthma symptoms cough", US_national_yearly!$D:$AM, 10, FALSE), 1)</f>
        <v>1.006630339832238E-3</v>
      </c>
      <c r="G6" s="7">
        <f>$B6 * IFERROR(VLOOKUP("buildings|NOx|Asthma symptoms cough", US_national_yearly!$D:$AM, 15, FALSE) / VLOOKUP("buildings|NOx|Asthma symptoms cough", US_national_yearly!$D:$AM, 10, FALSE), 1)</f>
        <v>1.0170685542461233E-3</v>
      </c>
      <c r="H6" s="7">
        <f>$B6 * IFERROR(VLOOKUP("buildings|NOx|Asthma symptoms cough", US_national_yearly!$D:$AM, 16, FALSE) / VLOOKUP("buildings|NOx|Asthma symptoms cough", US_national_yearly!$D:$AM, 10, FALSE), 1)</f>
        <v>1.0275067686600088E-3</v>
      </c>
      <c r="I6" s="7">
        <f>$B6 * IFERROR(VLOOKUP("buildings|NOx|Asthma symptoms cough", US_national_yearly!$D:$AM, 17, FALSE) / VLOOKUP("buildings|NOx|Asthma symptoms cough", US_national_yearly!$D:$AM, 10, FALSE), 1)</f>
        <v>1.0311191263774905E-3</v>
      </c>
      <c r="J6" s="7">
        <f>$B6 * IFERROR(VLOOKUP("buildings|NOx|Asthma symptoms cough", US_national_yearly!$D:$AM, 18, FALSE) / VLOOKUP("buildings|NOx|Asthma symptoms cough", US_national_yearly!$D:$AM, 10, FALSE), 1)</f>
        <v>1.0347314840949721E-3</v>
      </c>
      <c r="K6" s="7">
        <f>$B6 * IFERROR(VLOOKUP("buildings|NOx|Asthma symptoms cough", US_national_yearly!$D:$AM, 19, FALSE) / VLOOKUP("buildings|NOx|Asthma symptoms cough", US_national_yearly!$D:$AM, 10, FALSE), 1)</f>
        <v>1.0383438418124535E-3</v>
      </c>
      <c r="L6" s="7">
        <f>$B6 * IFERROR(VLOOKUP("buildings|NOx|Asthma symptoms cough", US_national_yearly!$D:$AM, 20, FALSE) / VLOOKUP("buildings|NOx|Asthma symptoms cough", US_national_yearly!$D:$AM, 10, FALSE), 1)</f>
        <v>1.0419561995299352E-3</v>
      </c>
      <c r="M6" s="7">
        <f>$B6 * IFERROR(VLOOKUP("buildings|NOx|Asthma symptoms cough", US_national_yearly!$D:$AM, 21, FALSE) / VLOOKUP("buildings|NOx|Asthma symptoms cough", US_national_yearly!$D:$AM, 10, FALSE), 1)</f>
        <v>1.0455685572474166E-3</v>
      </c>
      <c r="N6" s="7">
        <f>$B6 * IFERROR(VLOOKUP("buildings|NOx|Asthma symptoms cough", US_national_yearly!$D:$AM, 22, FALSE) / VLOOKUP("buildings|NOx|Asthma symptoms cough", US_national_yearly!$D:$AM, 10, FALSE), 1)</f>
        <v>1.0497455709391251E-3</v>
      </c>
      <c r="O6" s="7">
        <f>$B6 * IFERROR(VLOOKUP("buildings|NOx|Asthma symptoms cough", US_national_yearly!$D:$AM, 23, FALSE) / VLOOKUP("buildings|NOx|Asthma symptoms cough", US_national_yearly!$D:$AM, 10, FALSE), 1)</f>
        <v>1.0539225846308332E-3</v>
      </c>
      <c r="P6" s="7">
        <f>$B6 * IFERROR(VLOOKUP("buildings|NOx|Asthma symptoms cough", US_national_yearly!$D:$AM, 24, FALSE) / VLOOKUP("buildings|NOx|Asthma symptoms cough", US_national_yearly!$D:$AM, 10, FALSE), 1)</f>
        <v>1.0580995983225415E-3</v>
      </c>
      <c r="Q6" s="7">
        <f>$B6 * IFERROR(VLOOKUP("buildings|NOx|Asthma symptoms cough", US_national_yearly!$D:$AM, 25, FALSE) / VLOOKUP("buildings|NOx|Asthma symptoms cough", US_national_yearly!$D:$AM, 10, FALSE), 1)</f>
        <v>1.0622766120142498E-3</v>
      </c>
      <c r="R6" s="7">
        <f>$B6 * IFERROR(VLOOKUP("buildings|NOx|Asthma symptoms cough", US_national_yearly!$D:$AM, 26, FALSE) / VLOOKUP("buildings|NOx|Asthma symptoms cough", US_national_yearly!$D:$AM, 10, FALSE), 1)</f>
        <v>1.0664536257059582E-3</v>
      </c>
      <c r="S6" s="7">
        <f>$B6 * IFERROR(VLOOKUP("buildings|NOx|Asthma symptoms cough", US_national_yearly!$D:$AM, 27, FALSE) / VLOOKUP("buildings|NOx|Asthma symptoms cough", US_national_yearly!$D:$AM, 10, FALSE), 1)</f>
        <v>1.0719088941096811E-3</v>
      </c>
      <c r="T6" s="7">
        <f>$B6 * IFERROR(VLOOKUP("buildings|NOx|Asthma symptoms cough", US_national_yearly!$D:$AM, 28, FALSE) / VLOOKUP("buildings|NOx|Asthma symptoms cough", US_national_yearly!$D:$AM, 10, FALSE), 1)</f>
        <v>1.0773641625134039E-3</v>
      </c>
      <c r="U6" s="7">
        <f>$B6 * IFERROR(VLOOKUP("buildings|NOx|Asthma symptoms cough", US_national_yearly!$D:$AM, 29, FALSE) / VLOOKUP("buildings|NOx|Asthma symptoms cough", US_national_yearly!$D:$AM, 10, FALSE), 1)</f>
        <v>1.0828194309171267E-3</v>
      </c>
      <c r="V6" s="7">
        <f>$B6 * IFERROR(VLOOKUP("buildings|NOx|Asthma symptoms cough", US_national_yearly!$D:$AM, 30, FALSE) / VLOOKUP("buildings|NOx|Asthma symptoms cough", US_national_yearly!$D:$AM, 10, FALSE), 1)</f>
        <v>1.0882746993208499E-3</v>
      </c>
      <c r="W6" s="7">
        <f>$B6 * IFERROR(VLOOKUP("buildings|NOx|Asthma symptoms cough", US_national_yearly!$D:$AM, 31, FALSE) / VLOOKUP("buildings|NOx|Asthma symptoms cough", US_national_yearly!$D:$AM, 10, FALSE), 1)</f>
        <v>1.0937299677245727E-3</v>
      </c>
      <c r="X6" s="7">
        <f>$B6 * IFERROR(VLOOKUP("buildings|NOx|Asthma symptoms cough", US_national_yearly!$D:$AM, 32, FALSE) / VLOOKUP("buildings|NOx|Asthma symptoms cough", US_national_yearly!$D:$AM, 10, FALSE), 1)</f>
        <v>1.0987986627310977E-3</v>
      </c>
      <c r="Y6" s="7">
        <f>$B6 * IFERROR(VLOOKUP("buildings|NOx|Asthma symptoms cough", US_national_yearly!$D:$AM, 33, FALSE) / VLOOKUP("buildings|NOx|Asthma symptoms cough", US_national_yearly!$D:$AM, 10, FALSE), 1)</f>
        <v>1.1038673577376229E-3</v>
      </c>
      <c r="Z6" s="7">
        <f>$B6 * IFERROR(VLOOKUP("buildings|NOx|Asthma symptoms cough", US_national_yearly!$D:$AM, 34, FALSE) / VLOOKUP("buildings|NOx|Asthma symptoms cough", US_national_yearly!$D:$AM, 10, FALSE), 1)</f>
        <v>1.1089360527441481E-3</v>
      </c>
      <c r="AA6" s="7">
        <f>$B6 * IFERROR(VLOOKUP("buildings|NOx|Asthma symptoms cough", US_national_yearly!$D:$AM, 35, FALSE) / VLOOKUP("buildings|NOx|Asthma symptoms cough", US_national_yearly!$D:$AM, 10, FALSE), 1)</f>
        <v>1.1140047477506733E-3</v>
      </c>
      <c r="AB6" s="7">
        <f>$B6 * IFERROR(VLOOKUP("buildings|NOx|Asthma symptoms cough", US_national_yearly!$D:$AM, 36, FALSE) / VLOOKUP("buildings|NOx|Asthma symptoms cough", US_national_yearly!$D:$AM, 10, FALSE), 1)</f>
        <v>1.1190734427571987E-3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1.2852171838850458E-3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1.3028057310810954E-3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1.3203942782771452E-3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1.3379828254731947E-3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1.3555713726692443E-3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1.3696279175864918E-3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1.3836844625037393E-3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1.3885490174935925E-3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1.3934135724834454E-3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1.3982781274732988E-3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1.403142682463152E-3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1.4080072374530051E-3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1.4136321822833279E-3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1.4192571271136507E-3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1.4248820719439735E-3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1.4305070167742963E-3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1.4361319616046188E-3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1.4434782587982571E-3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1.4508245559918954E-3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1.4581708531855337E-3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1.4655171503791717E-3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1.47286344757281E-3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1.4796891685315153E-3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1.4865148894902206E-3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1.4933406104489261E-3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1.500166331407631E-3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1.5069920523663365E-3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1.9636023152258177E-3</v>
      </c>
      <c r="C8" s="7">
        <f>$B8 * IFERROR(VLOOKUP("buildings|NOx|Asthma symptoms wheeze", US_national_yearly!$D:$AM, 11, FALSE) / VLOOKUP("buildings|NOx|Asthma symptoms wheeze", US_national_yearly!$D:$AM, 10, FALSE), 1)</f>
        <v>1.9904747477692639E-3</v>
      </c>
      <c r="D8" s="7">
        <f>$B8 * IFERROR(VLOOKUP("buildings|NOx|Asthma symptoms wheeze", US_national_yearly!$D:$AM, 12, FALSE) / VLOOKUP("buildings|NOx|Asthma symptoms wheeze", US_national_yearly!$D:$AM, 10, FALSE), 1)</f>
        <v>2.0173471803127101E-3</v>
      </c>
      <c r="E8" s="7">
        <f>$B8 * IFERROR(VLOOKUP("buildings|NOx|Asthma symptoms wheeze", US_national_yearly!$D:$AM, 13, FALSE) / VLOOKUP("buildings|NOx|Asthma symptoms wheeze", US_national_yearly!$D:$AM, 10, FALSE), 1)</f>
        <v>2.0442196128561555E-3</v>
      </c>
      <c r="F8" s="7">
        <f>$B8 * IFERROR(VLOOKUP("buildings|NOx|Asthma symptoms wheeze", US_national_yearly!$D:$AM, 14, FALSE) / VLOOKUP("buildings|NOx|Asthma symptoms wheeze", US_national_yearly!$D:$AM, 10, FALSE), 1)</f>
        <v>2.0710920453996021E-3</v>
      </c>
      <c r="G8" s="7">
        <f>$B8 * IFERROR(VLOOKUP("buildings|NOx|Asthma symptoms wheeze", US_national_yearly!$D:$AM, 15, FALSE) / VLOOKUP("buildings|NOx|Asthma symptoms wheeze", US_national_yearly!$D:$AM, 10, FALSE), 1)</f>
        <v>2.0925681543482949E-3</v>
      </c>
      <c r="H8" s="7">
        <f>$B8 * IFERROR(VLOOKUP("buildings|NOx|Asthma symptoms wheeze", US_national_yearly!$D:$AM, 16, FALSE) / VLOOKUP("buildings|NOx|Asthma symptoms wheeze", US_national_yearly!$D:$AM, 10, FALSE), 1)</f>
        <v>2.1140442632969869E-3</v>
      </c>
      <c r="I8" s="7">
        <f>$B8 * IFERROR(VLOOKUP("buildings|NOx|Asthma symptoms wheeze", US_national_yearly!$D:$AM, 17, FALSE) / VLOOKUP("buildings|NOx|Asthma symptoms wheeze", US_national_yearly!$D:$AM, 10, FALSE), 1)</f>
        <v>2.1214765103114808E-3</v>
      </c>
      <c r="J8" s="7">
        <f>$B8 * IFERROR(VLOOKUP("buildings|NOx|Asthma symptoms wheeze", US_national_yearly!$D:$AM, 18, FALSE) / VLOOKUP("buildings|NOx|Asthma symptoms wheeze", US_national_yearly!$D:$AM, 10, FALSE), 1)</f>
        <v>2.1289087573259742E-3</v>
      </c>
      <c r="K8" s="7">
        <f>$B8 * IFERROR(VLOOKUP("buildings|NOx|Asthma symptoms wheeze", US_national_yearly!$D:$AM, 19, FALSE) / VLOOKUP("buildings|NOx|Asthma symptoms wheeze", US_national_yearly!$D:$AM, 10, FALSE), 1)</f>
        <v>2.1363410043404676E-3</v>
      </c>
      <c r="L8" s="7">
        <f>$B8 * IFERROR(VLOOKUP("buildings|NOx|Asthma symptoms wheeze", US_national_yearly!$D:$AM, 20, FALSE) / VLOOKUP("buildings|NOx|Asthma symptoms wheeze", US_national_yearly!$D:$AM, 10, FALSE), 1)</f>
        <v>2.143773251354961E-3</v>
      </c>
      <c r="M8" s="7">
        <f>$B8 * IFERROR(VLOOKUP("buildings|NOx|Asthma symptoms wheeze", US_national_yearly!$D:$AM, 21, FALSE) / VLOOKUP("buildings|NOx|Asthma symptoms wheeze", US_national_yearly!$D:$AM, 10, FALSE), 1)</f>
        <v>2.1512054983694553E-3</v>
      </c>
      <c r="N8" s="7">
        <f>$B8 * IFERROR(VLOOKUP("buildings|NOx|Asthma symptoms wheeze", US_national_yearly!$D:$AM, 22, FALSE) / VLOOKUP("buildings|NOx|Asthma symptoms wheeze", US_national_yearly!$D:$AM, 10, FALSE), 1)</f>
        <v>2.159799497073019E-3</v>
      </c>
      <c r="O8" s="7">
        <f>$B8 * IFERROR(VLOOKUP("buildings|NOx|Asthma symptoms wheeze", US_national_yearly!$D:$AM, 23, FALSE) / VLOOKUP("buildings|NOx|Asthma symptoms wheeze", US_national_yearly!$D:$AM, 10, FALSE), 1)</f>
        <v>2.1683934957765836E-3</v>
      </c>
      <c r="P8" s="7">
        <f>$B8 * IFERROR(VLOOKUP("buildings|NOx|Asthma symptoms wheeze", US_national_yearly!$D:$AM, 24, FALSE) / VLOOKUP("buildings|NOx|Asthma symptoms wheeze", US_national_yearly!$D:$AM, 10, FALSE), 1)</f>
        <v>2.1769874944801478E-3</v>
      </c>
      <c r="Q8" s="7">
        <f>$B8 * IFERROR(VLOOKUP("buildings|NOx|Asthma symptoms wheeze", US_national_yearly!$D:$AM, 25, FALSE) / VLOOKUP("buildings|NOx|Asthma symptoms wheeze", US_national_yearly!$D:$AM, 10, FALSE), 1)</f>
        <v>2.185581493183712E-3</v>
      </c>
      <c r="R8" s="7">
        <f>$B8 * IFERROR(VLOOKUP("buildings|NOx|Asthma symptoms wheeze", US_national_yearly!$D:$AM, 26, FALSE) / VLOOKUP("buildings|NOx|Asthma symptoms wheeze", US_national_yearly!$D:$AM, 10, FALSE), 1)</f>
        <v>2.1941754918872762E-3</v>
      </c>
      <c r="S8" s="7">
        <f>$B8 * IFERROR(VLOOKUP("buildings|NOx|Asthma symptoms wheeze", US_national_yearly!$D:$AM, 27, FALSE) / VLOOKUP("buildings|NOx|Asthma symptoms wheeze", US_national_yearly!$D:$AM, 10, FALSE), 1)</f>
        <v>2.205399436327134E-3</v>
      </c>
      <c r="T8" s="7">
        <f>$B8 * IFERROR(VLOOKUP("buildings|NOx|Asthma symptoms wheeze", US_national_yearly!$D:$AM, 28, FALSE) / VLOOKUP("buildings|NOx|Asthma symptoms wheeze", US_national_yearly!$D:$AM, 10, FALSE), 1)</f>
        <v>2.2166233807669922E-3</v>
      </c>
      <c r="U8" s="7">
        <f>$B8 * IFERROR(VLOOKUP("buildings|NOx|Asthma symptoms wheeze", US_national_yearly!$D:$AM, 29, FALSE) / VLOOKUP("buildings|NOx|Asthma symptoms wheeze", US_national_yearly!$D:$AM, 10, FALSE), 1)</f>
        <v>2.22784732520685E-3</v>
      </c>
      <c r="V8" s="7">
        <f>$B8 * IFERROR(VLOOKUP("buildings|NOx|Asthma symptoms wheeze", US_national_yearly!$D:$AM, 30, FALSE) / VLOOKUP("buildings|NOx|Asthma symptoms wheeze", US_national_yearly!$D:$AM, 10, FALSE), 1)</f>
        <v>2.2390712696467078E-3</v>
      </c>
      <c r="W8" s="7">
        <f>$B8 * IFERROR(VLOOKUP("buildings|NOx|Asthma symptoms wheeze", US_national_yearly!$D:$AM, 31, FALSE) / VLOOKUP("buildings|NOx|Asthma symptoms wheeze", US_national_yearly!$D:$AM, 10, FALSE), 1)</f>
        <v>2.250295214086566E-3</v>
      </c>
      <c r="X8" s="7">
        <f>$B8 * IFERROR(VLOOKUP("buildings|NOx|Asthma symptoms wheeze", US_national_yearly!$D:$AM, 32, FALSE) / VLOOKUP("buildings|NOx|Asthma symptoms wheeze", US_national_yearly!$D:$AM, 10, FALSE), 1)</f>
        <v>2.2607238029163888E-3</v>
      </c>
      <c r="Y8" s="7">
        <f>$B8 * IFERROR(VLOOKUP("buildings|NOx|Asthma symptoms wheeze", US_national_yearly!$D:$AM, 33, FALSE) / VLOOKUP("buildings|NOx|Asthma symptoms wheeze", US_national_yearly!$D:$AM, 10, FALSE), 1)</f>
        <v>2.2711523917462112E-3</v>
      </c>
      <c r="Z8" s="7">
        <f>$B8 * IFERROR(VLOOKUP("buildings|NOx|Asthma symptoms wheeze", US_national_yearly!$D:$AM, 34, FALSE) / VLOOKUP("buildings|NOx|Asthma symptoms wheeze", US_national_yearly!$D:$AM, 10, FALSE), 1)</f>
        <v>2.2815809805760345E-3</v>
      </c>
      <c r="AA8" s="7">
        <f>$B8 * IFERROR(VLOOKUP("buildings|NOx|Asthma symptoms wheeze", US_national_yearly!$D:$AM, 35, FALSE) / VLOOKUP("buildings|NOx|Asthma symptoms wheeze", US_national_yearly!$D:$AM, 10, FALSE), 1)</f>
        <v>2.2920095694058573E-3</v>
      </c>
      <c r="AB8" s="7">
        <f>$B8 * IFERROR(VLOOKUP("buildings|NOx|Asthma symptoms wheeze", US_national_yearly!$D:$AM, 36, FALSE) / VLOOKUP("buildings|NOx|Asthma symptoms wheeze", US_national_yearly!$D:$AM, 10, FALSE), 1)</f>
        <v>2.3024381582356806E-3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3.2118662388021237E-5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3.2921126306379857E-5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3.3723590224738471E-5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3.4526054143097091E-5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3.5328518061455711E-5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3.6095697986209398E-5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3.6862877910963063E-5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3.7514579182078647E-5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3.8166280453194237E-5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3.8817981724309821E-5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3.9469682995425405E-5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4.0121384266540989E-5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4.0557042980486322E-5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4.0992701694431655E-5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4.1428360408376988E-5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4.1864019122322335E-5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4.2299677836267661E-5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4.2533264845343668E-5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4.2766851854419682E-5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4.3000438863495696E-5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4.323402587257171E-5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4.3467612881647718E-5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4.3627514211064917E-5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4.3787415540482109E-5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4.3947316869899315E-5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4.4107218199316508E-5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4.4267119528733707E-5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1.5043269774345279E-4</v>
      </c>
      <c r="C13" s="7">
        <f>$B13 * IFERROR(VLOOKUP("buildings|NOx|Non-fatal heart attacks", US_national_yearly!$D:$AM, 11, FALSE) / VLOOKUP("buildings|NOx|Non-fatal heart attacks", US_national_yearly!$D:$AM, 10, FALSE), 1)</f>
        <v>1.5473627051422633E-4</v>
      </c>
      <c r="D13" s="7">
        <f>$B13 * IFERROR(VLOOKUP("buildings|NOx|Non-fatal heart attacks", US_national_yearly!$D:$AM, 12, FALSE) / VLOOKUP("buildings|NOx|Non-fatal heart attacks", US_national_yearly!$D:$AM, 10, FALSE), 1)</f>
        <v>1.5903984328499991E-4</v>
      </c>
      <c r="E13" s="7">
        <f>$B13 * IFERROR(VLOOKUP("buildings|NOx|Non-fatal heart attacks", US_national_yearly!$D:$AM, 13, FALSE) / VLOOKUP("buildings|NOx|Non-fatal heart attacks", US_national_yearly!$D:$AM, 10, FALSE), 1)</f>
        <v>1.6334341605577345E-4</v>
      </c>
      <c r="F13" s="7">
        <f>$B13 * IFERROR(VLOOKUP("buildings|NOx|Non-fatal heart attacks", US_national_yearly!$D:$AM, 14, FALSE) / VLOOKUP("buildings|NOx|Non-fatal heart attacks", US_national_yearly!$D:$AM, 10, FALSE), 1)</f>
        <v>1.6764698882654696E-4</v>
      </c>
      <c r="G13" s="7">
        <f>$B13 * IFERROR(VLOOKUP("buildings|NOx|Non-fatal heart attacks", US_national_yearly!$D:$AM, 15, FALSE) / VLOOKUP("buildings|NOx|Non-fatal heart attacks", US_national_yearly!$D:$AM, 10, FALSE), 1)</f>
        <v>1.7166952382058234E-4</v>
      </c>
      <c r="H13" s="7">
        <f>$B13 * IFERROR(VLOOKUP("buildings|NOx|Non-fatal heart attacks", US_national_yearly!$D:$AM, 16, FALSE) / VLOOKUP("buildings|NOx|Non-fatal heart attacks", US_national_yearly!$D:$AM, 10, FALSE), 1)</f>
        <v>1.7569205881461778E-4</v>
      </c>
      <c r="I13" s="7">
        <f>$B13 * IFERROR(VLOOKUP("buildings|NOx|Non-fatal heart attacks", US_national_yearly!$D:$AM, 17, FALSE) / VLOOKUP("buildings|NOx|Non-fatal heart attacks", US_national_yearly!$D:$AM, 10, FALSE), 1)</f>
        <v>1.7886554976679611E-4</v>
      </c>
      <c r="J13" s="7">
        <f>$B13 * IFERROR(VLOOKUP("buildings|NOx|Non-fatal heart attacks", US_national_yearly!$D:$AM, 18, FALSE) / VLOOKUP("buildings|NOx|Non-fatal heart attacks", US_national_yearly!$D:$AM, 10, FALSE), 1)</f>
        <v>1.8203904071897441E-4</v>
      </c>
      <c r="K13" s="7">
        <f>$B13 * IFERROR(VLOOKUP("buildings|NOx|Non-fatal heart attacks", US_national_yearly!$D:$AM, 19, FALSE) / VLOOKUP("buildings|NOx|Non-fatal heart attacks", US_national_yearly!$D:$AM, 10, FALSE), 1)</f>
        <v>1.852125316711528E-4</v>
      </c>
      <c r="L13" s="7">
        <f>$B13 * IFERROR(VLOOKUP("buildings|NOx|Non-fatal heart attacks", US_national_yearly!$D:$AM, 20, FALSE) / VLOOKUP("buildings|NOx|Non-fatal heart attacks", US_national_yearly!$D:$AM, 10, FALSE), 1)</f>
        <v>1.8838602262333102E-4</v>
      </c>
      <c r="M13" s="7">
        <f>$B13 * IFERROR(VLOOKUP("buildings|NOx|Non-fatal heart attacks", US_national_yearly!$D:$AM, 21, FALSE) / VLOOKUP("buildings|NOx|Non-fatal heart attacks", US_national_yearly!$D:$AM, 10, FALSE), 1)</f>
        <v>1.9155951357550943E-4</v>
      </c>
      <c r="N13" s="7">
        <f>$B13 * IFERROR(VLOOKUP("buildings|NOx|Non-fatal heart attacks", US_national_yearly!$D:$AM, 22, FALSE) / VLOOKUP("buildings|NOx|Non-fatal heart attacks", US_national_yearly!$D:$AM, 10, FALSE), 1)</f>
        <v>1.9346941663182763E-4</v>
      </c>
      <c r="O13" s="7">
        <f>$B13 * IFERROR(VLOOKUP("buildings|NOx|Non-fatal heart attacks", US_national_yearly!$D:$AM, 23, FALSE) / VLOOKUP("buildings|NOx|Non-fatal heart attacks", US_national_yearly!$D:$AM, 10, FALSE), 1)</f>
        <v>1.9537931968814583E-4</v>
      </c>
      <c r="P13" s="7">
        <f>$B13 * IFERROR(VLOOKUP("buildings|NOx|Non-fatal heart attacks", US_national_yearly!$D:$AM, 24, FALSE) / VLOOKUP("buildings|NOx|Non-fatal heart attacks", US_national_yearly!$D:$AM, 10, FALSE), 1)</f>
        <v>1.9728922274446406E-4</v>
      </c>
      <c r="Q13" s="7">
        <f>$B13 * IFERROR(VLOOKUP("buildings|NOx|Non-fatal heart attacks", US_national_yearly!$D:$AM, 25, FALSE) / VLOOKUP("buildings|NOx|Non-fatal heart attacks", US_national_yearly!$D:$AM, 10, FALSE), 1)</f>
        <v>1.9919912580078228E-4</v>
      </c>
      <c r="R13" s="7">
        <f>$B13 * IFERROR(VLOOKUP("buildings|NOx|Non-fatal heart attacks", US_national_yearly!$D:$AM, 26, FALSE) / VLOOKUP("buildings|NOx|Non-fatal heart attacks", US_national_yearly!$D:$AM, 10, FALSE), 1)</f>
        <v>2.0110902885710048E-4</v>
      </c>
      <c r="S13" s="7">
        <f>$B13 * IFERROR(VLOOKUP("buildings|NOx|Non-fatal heart attacks", US_national_yearly!$D:$AM, 27, FALSE) / VLOOKUP("buildings|NOx|Non-fatal heart attacks", US_national_yearly!$D:$AM, 10, FALSE), 1)</f>
        <v>2.0197696373168314E-4</v>
      </c>
      <c r="T13" s="7">
        <f>$B13 * IFERROR(VLOOKUP("buildings|NOx|Non-fatal heart attacks", US_national_yearly!$D:$AM, 28, FALSE) / VLOOKUP("buildings|NOx|Non-fatal heart attacks", US_national_yearly!$D:$AM, 10, FALSE), 1)</f>
        <v>2.0284489860626588E-4</v>
      </c>
      <c r="U13" s="7">
        <f>$B13 * IFERROR(VLOOKUP("buildings|NOx|Non-fatal heart attacks", US_national_yearly!$D:$AM, 29, FALSE) / VLOOKUP("buildings|NOx|Non-fatal heart attacks", US_national_yearly!$D:$AM, 10, FALSE), 1)</f>
        <v>2.0371283348084857E-4</v>
      </c>
      <c r="V13" s="7">
        <f>$B13 * IFERROR(VLOOKUP("buildings|NOx|Non-fatal heart attacks", US_national_yearly!$D:$AM, 30, FALSE) / VLOOKUP("buildings|NOx|Non-fatal heart attacks", US_national_yearly!$D:$AM, 10, FALSE), 1)</f>
        <v>2.0458076835543122E-4</v>
      </c>
      <c r="W13" s="7">
        <f>$B13 * IFERROR(VLOOKUP("buildings|NOx|Non-fatal heart attacks", US_national_yearly!$D:$AM, 31, FALSE) / VLOOKUP("buildings|NOx|Non-fatal heart attacks", US_national_yearly!$D:$AM, 10, FALSE), 1)</f>
        <v>2.0544870323001394E-4</v>
      </c>
      <c r="X13" s="7">
        <f>$B13 * IFERROR(VLOOKUP("buildings|NOx|Non-fatal heart attacks", US_national_yearly!$D:$AM, 32, FALSE) / VLOOKUP("buildings|NOx|Non-fatal heart attacks", US_national_yearly!$D:$AM, 10, FALSE), 1)</f>
        <v>2.0602928098387212E-4</v>
      </c>
      <c r="Y13" s="7">
        <f>$B13 * IFERROR(VLOOKUP("buildings|NOx|Non-fatal heart attacks", US_national_yearly!$D:$AM, 33, FALSE) / VLOOKUP("buildings|NOx|Non-fatal heart attacks", US_national_yearly!$D:$AM, 10, FALSE), 1)</f>
        <v>2.0660985873773033E-4</v>
      </c>
      <c r="Z13" s="7">
        <f>$B13 * IFERROR(VLOOKUP("buildings|NOx|Non-fatal heart attacks", US_national_yearly!$D:$AM, 34, FALSE) / VLOOKUP("buildings|NOx|Non-fatal heart attacks", US_national_yearly!$D:$AM, 10, FALSE), 1)</f>
        <v>2.0719043649158853E-4</v>
      </c>
      <c r="AA13" s="7">
        <f>$B13 * IFERROR(VLOOKUP("buildings|NOx|Non-fatal heart attacks", US_national_yearly!$D:$AM, 35, FALSE) / VLOOKUP("buildings|NOx|Non-fatal heart attacks", US_national_yearly!$D:$AM, 10, FALSE), 1)</f>
        <v>2.0777101424544674E-4</v>
      </c>
      <c r="AB13" s="7">
        <f>$B13 * IFERROR(VLOOKUP("buildings|NOx|Non-fatal heart attacks", US_national_yearly!$D:$AM, 36, FALSE) / VLOOKUP("buildings|NOx|Non-fatal heart attacks", US_national_yearly!$D:$AM, 10, FALSE), 1)</f>
        <v>2.0835159199930492E-4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0.11090911721683921</v>
      </c>
      <c r="C14" s="7">
        <f>$B14 * IFERROR(VLOOKUP("buildings|NOx|Minor restricted activity days", US_national_yearly!$D:$AM, 11, FALSE) / VLOOKUP("buildings|NOx|Minor restricted activity days", US_national_yearly!$D:$AM, 10, FALSE), 1)</f>
        <v>0.11108122193754008</v>
      </c>
      <c r="D14" s="7">
        <f>$B14 * IFERROR(VLOOKUP("buildings|NOx|Minor restricted activity days", US_national_yearly!$D:$AM, 12, FALSE) / VLOOKUP("buildings|NOx|Minor restricted activity days", US_national_yearly!$D:$AM, 10, FALSE), 1)</f>
        <v>0.11125332665824095</v>
      </c>
      <c r="E14" s="7">
        <f>$B14 * IFERROR(VLOOKUP("buildings|NOx|Minor restricted activity days", US_national_yearly!$D:$AM, 13, FALSE) / VLOOKUP("buildings|NOx|Minor restricted activity days", US_national_yearly!$D:$AM, 10, FALSE), 1)</f>
        <v>0.1114254313789418</v>
      </c>
      <c r="F14" s="7">
        <f>$B14 * IFERROR(VLOOKUP("buildings|NOx|Minor restricted activity days", US_national_yearly!$D:$AM, 14, FALSE) / VLOOKUP("buildings|NOx|Minor restricted activity days", US_national_yearly!$D:$AM, 10, FALSE), 1)</f>
        <v>0.11159753609964267</v>
      </c>
      <c r="G14" s="7">
        <f>$B14 * IFERROR(VLOOKUP("buildings|NOx|Minor restricted activity days", US_national_yearly!$D:$AM, 15, FALSE) / VLOOKUP("buildings|NOx|Minor restricted activity days", US_national_yearly!$D:$AM, 10, FALSE), 1)</f>
        <v>0.11190672252903815</v>
      </c>
      <c r="H14" s="7">
        <f>$B14 * IFERROR(VLOOKUP("buildings|NOx|Minor restricted activity days", US_national_yearly!$D:$AM, 16, FALSE) / VLOOKUP("buildings|NOx|Minor restricted activity days", US_national_yearly!$D:$AM, 10, FALSE), 1)</f>
        <v>0.11221590895843361</v>
      </c>
      <c r="I14" s="7">
        <f>$B14 * IFERROR(VLOOKUP("buildings|NOx|Minor restricted activity days", US_national_yearly!$D:$AM, 17, FALSE) / VLOOKUP("buildings|NOx|Minor restricted activity days", US_national_yearly!$D:$AM, 10, FALSE), 1)</f>
        <v>0.1128187342844212</v>
      </c>
      <c r="J14" s="7">
        <f>$B14 * IFERROR(VLOOKUP("buildings|NOx|Minor restricted activity days", US_national_yearly!$D:$AM, 18, FALSE) / VLOOKUP("buildings|NOx|Minor restricted activity days", US_national_yearly!$D:$AM, 10, FALSE), 1)</f>
        <v>0.11342155961040878</v>
      </c>
      <c r="K14" s="7">
        <f>$B14 * IFERROR(VLOOKUP("buildings|NOx|Minor restricted activity days", US_national_yearly!$D:$AM, 19, FALSE) / VLOOKUP("buildings|NOx|Minor restricted activity days", US_national_yearly!$D:$AM, 10, FALSE), 1)</f>
        <v>0.11402438493639637</v>
      </c>
      <c r="L14" s="7">
        <f>$B14 * IFERROR(VLOOKUP("buildings|NOx|Minor restricted activity days", US_national_yearly!$D:$AM, 20, FALSE) / VLOOKUP("buildings|NOx|Minor restricted activity days", US_national_yearly!$D:$AM, 10, FALSE), 1)</f>
        <v>0.11462721026238396</v>
      </c>
      <c r="M14" s="7">
        <f>$B14 * IFERROR(VLOOKUP("buildings|NOx|Minor restricted activity days", US_national_yearly!$D:$AM, 21, FALSE) / VLOOKUP("buildings|NOx|Minor restricted activity days", US_national_yearly!$D:$AM, 10, FALSE), 1)</f>
        <v>0.11523003558837154</v>
      </c>
      <c r="N14" s="7">
        <f>$B14 * IFERROR(VLOOKUP("buildings|NOx|Minor restricted activity days", US_national_yearly!$D:$AM, 22, FALSE) / VLOOKUP("buildings|NOx|Minor restricted activity days", US_national_yearly!$D:$AM, 10, FALSE), 1)</f>
        <v>0.11609244249416981</v>
      </c>
      <c r="O14" s="7">
        <f>$B14 * IFERROR(VLOOKUP("buildings|NOx|Minor restricted activity days", US_national_yearly!$D:$AM, 23, FALSE) / VLOOKUP("buildings|NOx|Minor restricted activity days", US_national_yearly!$D:$AM, 10, FALSE), 1)</f>
        <v>0.11695484939996804</v>
      </c>
      <c r="P14" s="7">
        <f>$B14 * IFERROR(VLOOKUP("buildings|NOx|Minor restricted activity days", US_national_yearly!$D:$AM, 24, FALSE) / VLOOKUP("buildings|NOx|Minor restricted activity days", US_national_yearly!$D:$AM, 10, FALSE), 1)</f>
        <v>0.1178172563057663</v>
      </c>
      <c r="Q14" s="7">
        <f>$B14 * IFERROR(VLOOKUP("buildings|NOx|Minor restricted activity days", US_national_yearly!$D:$AM, 25, FALSE) / VLOOKUP("buildings|NOx|Minor restricted activity days", US_national_yearly!$D:$AM, 10, FALSE), 1)</f>
        <v>0.11867966321156453</v>
      </c>
      <c r="R14" s="7">
        <f>$B14 * IFERROR(VLOOKUP("buildings|NOx|Minor restricted activity days", US_national_yearly!$D:$AM, 26, FALSE) / VLOOKUP("buildings|NOx|Minor restricted activity days", US_national_yearly!$D:$AM, 10, FALSE), 1)</f>
        <v>0.11954207011736277</v>
      </c>
      <c r="S14" s="7">
        <f>$B14 * IFERROR(VLOOKUP("buildings|NOx|Minor restricted activity days", US_national_yearly!$D:$AM, 27, FALSE) / VLOOKUP("buildings|NOx|Minor restricted activity days", US_national_yearly!$D:$AM, 10, FALSE), 1)</f>
        <v>0.12040422875962833</v>
      </c>
      <c r="T14" s="7">
        <f>$B14 * IFERROR(VLOOKUP("buildings|NOx|Minor restricted activity days", US_national_yearly!$D:$AM, 28, FALSE) / VLOOKUP("buildings|NOx|Minor restricted activity days", US_national_yearly!$D:$AM, 10, FALSE), 1)</f>
        <v>0.1212663874018939</v>
      </c>
      <c r="U14" s="7">
        <f>$B14 * IFERROR(VLOOKUP("buildings|NOx|Minor restricted activity days", US_national_yearly!$D:$AM, 29, FALSE) / VLOOKUP("buildings|NOx|Minor restricted activity days", US_national_yearly!$D:$AM, 10, FALSE), 1)</f>
        <v>0.12212854604415947</v>
      </c>
      <c r="V14" s="7">
        <f>$B14 * IFERROR(VLOOKUP("buildings|NOx|Minor restricted activity days", US_national_yearly!$D:$AM, 30, FALSE) / VLOOKUP("buildings|NOx|Minor restricted activity days", US_national_yearly!$D:$AM, 10, FALSE), 1)</f>
        <v>0.12299070468642503</v>
      </c>
      <c r="W14" s="7">
        <f>$B14 * IFERROR(VLOOKUP("buildings|NOx|Minor restricted activity days", US_national_yearly!$D:$AM, 31, FALSE) / VLOOKUP("buildings|NOx|Minor restricted activity days", US_national_yearly!$D:$AM, 10, FALSE), 1)</f>
        <v>0.1238528633286906</v>
      </c>
      <c r="X14" s="7">
        <f>$B14 * IFERROR(VLOOKUP("buildings|NOx|Minor restricted activity days", US_national_yearly!$D:$AM, 32, FALSE) / VLOOKUP("buildings|NOx|Minor restricted activity days", US_national_yearly!$D:$AM, 10, FALSE), 1)</f>
        <v>0.12458202630724541</v>
      </c>
      <c r="Y14" s="7">
        <f>$B14 * IFERROR(VLOOKUP("buildings|NOx|Minor restricted activity days", US_national_yearly!$D:$AM, 33, FALSE) / VLOOKUP("buildings|NOx|Minor restricted activity days", US_national_yearly!$D:$AM, 10, FALSE), 1)</f>
        <v>0.12531118928580023</v>
      </c>
      <c r="Z14" s="7">
        <f>$B14 * IFERROR(VLOOKUP("buildings|NOx|Minor restricted activity days", US_national_yearly!$D:$AM, 34, FALSE) / VLOOKUP("buildings|NOx|Minor restricted activity days", US_national_yearly!$D:$AM, 10, FALSE), 1)</f>
        <v>0.12604035226435503</v>
      </c>
      <c r="AA14" s="7">
        <f>$B14 * IFERROR(VLOOKUP("buildings|NOx|Minor restricted activity days", US_national_yearly!$D:$AM, 35, FALSE) / VLOOKUP("buildings|NOx|Minor restricted activity days", US_national_yearly!$D:$AM, 10, FALSE), 1)</f>
        <v>0.12676951524290986</v>
      </c>
      <c r="AB14" s="7">
        <f>$B14 * IFERROR(VLOOKUP("buildings|NOx|Minor restricted activity days", US_national_yearly!$D:$AM, 36, FALSE) / VLOOKUP("buildings|NOx|Minor restricted activity days", US_national_yearly!$D:$AM, 10, FALSE), 1)</f>
        <v>0.12749867822146466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1.8774514415160697E-2</v>
      </c>
      <c r="C15" s="7">
        <f>$B15 * IFERROR(VLOOKUP("buildings|NOx|Work loss days", US_national_yearly!$D:$AM, 11, FALSE) / VLOOKUP("buildings|NOx|Work loss days", US_national_yearly!$D:$AM, 10, FALSE), 1)</f>
        <v>1.8816601902386484E-2</v>
      </c>
      <c r="D15" s="7">
        <f>$B15 * IFERROR(VLOOKUP("buildings|NOx|Work loss days", US_national_yearly!$D:$AM, 12, FALSE) / VLOOKUP("buildings|NOx|Work loss days", US_national_yearly!$D:$AM, 10, FALSE), 1)</f>
        <v>1.8858689389612264E-2</v>
      </c>
      <c r="E15" s="7">
        <f>$B15 * IFERROR(VLOOKUP("buildings|NOx|Work loss days", US_national_yearly!$D:$AM, 13, FALSE) / VLOOKUP("buildings|NOx|Work loss days", US_national_yearly!$D:$AM, 10, FALSE), 1)</f>
        <v>1.8900776876838048E-2</v>
      </c>
      <c r="F15" s="7">
        <f>$B15 * IFERROR(VLOOKUP("buildings|NOx|Work loss days", US_national_yearly!$D:$AM, 14, FALSE) / VLOOKUP("buildings|NOx|Work loss days", US_national_yearly!$D:$AM, 10, FALSE), 1)</f>
        <v>1.8942864364063835E-2</v>
      </c>
      <c r="G15" s="7">
        <f>$B15 * IFERROR(VLOOKUP("buildings|NOx|Work loss days", US_national_yearly!$D:$AM, 15, FALSE) / VLOOKUP("buildings|NOx|Work loss days", US_national_yearly!$D:$AM, 10, FALSE), 1)</f>
        <v>1.900416950785052E-2</v>
      </c>
      <c r="H15" s="7">
        <f>$B15 * IFERROR(VLOOKUP("buildings|NOx|Work loss days", US_national_yearly!$D:$AM, 16, FALSE) / VLOOKUP("buildings|NOx|Work loss days", US_national_yearly!$D:$AM, 10, FALSE), 1)</f>
        <v>1.9065474651637205E-2</v>
      </c>
      <c r="I15" s="7">
        <f>$B15 * IFERROR(VLOOKUP("buildings|NOx|Work loss days", US_national_yearly!$D:$AM, 17, FALSE) / VLOOKUP("buildings|NOx|Work loss days", US_national_yearly!$D:$AM, 10, FALSE), 1)</f>
        <v>1.9164623547613661E-2</v>
      </c>
      <c r="J15" s="7">
        <f>$B15 * IFERROR(VLOOKUP("buildings|NOx|Work loss days", US_national_yearly!$D:$AM, 18, FALSE) / VLOOKUP("buildings|NOx|Work loss days", US_national_yearly!$D:$AM, 10, FALSE), 1)</f>
        <v>1.9263772443590114E-2</v>
      </c>
      <c r="K15" s="7">
        <f>$B15 * IFERROR(VLOOKUP("buildings|NOx|Work loss days", US_national_yearly!$D:$AM, 19, FALSE) / VLOOKUP("buildings|NOx|Work loss days", US_national_yearly!$D:$AM, 10, FALSE), 1)</f>
        <v>1.9362921339566568E-2</v>
      </c>
      <c r="L15" s="7">
        <f>$B15 * IFERROR(VLOOKUP("buildings|NOx|Work loss days", US_national_yearly!$D:$AM, 20, FALSE) / VLOOKUP("buildings|NOx|Work loss days", US_national_yearly!$D:$AM, 10, FALSE), 1)</f>
        <v>1.9462070235543024E-2</v>
      </c>
      <c r="M15" s="7">
        <f>$B15 * IFERROR(VLOOKUP("buildings|NOx|Work loss days", US_national_yearly!$D:$AM, 21, FALSE) / VLOOKUP("buildings|NOx|Work loss days", US_national_yearly!$D:$AM, 10, FALSE), 1)</f>
        <v>1.9561219131519477E-2</v>
      </c>
      <c r="N15" s="7">
        <f>$B15 * IFERROR(VLOOKUP("buildings|NOx|Work loss days", US_national_yearly!$D:$AM, 22, FALSE) / VLOOKUP("buildings|NOx|Work loss days", US_national_yearly!$D:$AM, 10, FALSE), 1)</f>
        <v>1.9690212008729346E-2</v>
      </c>
      <c r="O15" s="7">
        <f>$B15 * IFERROR(VLOOKUP("buildings|NOx|Work loss days", US_national_yearly!$D:$AM, 23, FALSE) / VLOOKUP("buildings|NOx|Work loss days", US_national_yearly!$D:$AM, 10, FALSE), 1)</f>
        <v>1.9819204885939214E-2</v>
      </c>
      <c r="P15" s="7">
        <f>$B15 * IFERROR(VLOOKUP("buildings|NOx|Work loss days", US_national_yearly!$D:$AM, 24, FALSE) / VLOOKUP("buildings|NOx|Work loss days", US_national_yearly!$D:$AM, 10, FALSE), 1)</f>
        <v>1.9948197763149083E-2</v>
      </c>
      <c r="Q15" s="7">
        <f>$B15 * IFERROR(VLOOKUP("buildings|NOx|Work loss days", US_national_yearly!$D:$AM, 25, FALSE) / VLOOKUP("buildings|NOx|Work loss days", US_national_yearly!$D:$AM, 10, FALSE), 1)</f>
        <v>2.0077190640358955E-2</v>
      </c>
      <c r="R15" s="7">
        <f>$B15 * IFERROR(VLOOKUP("buildings|NOx|Work loss days", US_national_yearly!$D:$AM, 26, FALSE) / VLOOKUP("buildings|NOx|Work loss days", US_national_yearly!$D:$AM, 10, FALSE), 1)</f>
        <v>2.0206183517568824E-2</v>
      </c>
      <c r="S15" s="7">
        <f>$B15 * IFERROR(VLOOKUP("buildings|NOx|Work loss days", US_national_yearly!$D:$AM, 27, FALSE) / VLOOKUP("buildings|NOx|Work loss days", US_national_yearly!$D:$AM, 10, FALSE), 1)</f>
        <v>2.0349923473388452E-2</v>
      </c>
      <c r="T15" s="7">
        <f>$B15 * IFERROR(VLOOKUP("buildings|NOx|Work loss days", US_national_yearly!$D:$AM, 28, FALSE) / VLOOKUP("buildings|NOx|Work loss days", US_national_yearly!$D:$AM, 10, FALSE), 1)</f>
        <v>2.0493663429208085E-2</v>
      </c>
      <c r="U15" s="7">
        <f>$B15 * IFERROR(VLOOKUP("buildings|NOx|Work loss days", US_national_yearly!$D:$AM, 29, FALSE) / VLOOKUP("buildings|NOx|Work loss days", US_national_yearly!$D:$AM, 10, FALSE), 1)</f>
        <v>2.0637403385027713E-2</v>
      </c>
      <c r="V15" s="7">
        <f>$B15 * IFERROR(VLOOKUP("buildings|NOx|Work loss days", US_national_yearly!$D:$AM, 30, FALSE) / VLOOKUP("buildings|NOx|Work loss days", US_national_yearly!$D:$AM, 10, FALSE), 1)</f>
        <v>2.0781143340847342E-2</v>
      </c>
      <c r="W15" s="7">
        <f>$B15 * IFERROR(VLOOKUP("buildings|NOx|Work loss days", US_national_yearly!$D:$AM, 31, FALSE) / VLOOKUP("buildings|NOx|Work loss days", US_national_yearly!$D:$AM, 10, FALSE), 1)</f>
        <v>2.0924883296666971E-2</v>
      </c>
      <c r="X15" s="7">
        <f>$B15 * IFERROR(VLOOKUP("buildings|NOx|Work loss days", US_national_yearly!$D:$AM, 32, FALSE) / VLOOKUP("buildings|NOx|Work loss days", US_national_yearly!$D:$AM, 10, FALSE), 1)</f>
        <v>2.1049679610946309E-2</v>
      </c>
      <c r="Y15" s="7">
        <f>$B15 * IFERROR(VLOOKUP("buildings|NOx|Work loss days", US_national_yearly!$D:$AM, 33, FALSE) / VLOOKUP("buildings|NOx|Work loss days", US_national_yearly!$D:$AM, 10, FALSE), 1)</f>
        <v>2.1174475925225648E-2</v>
      </c>
      <c r="Z15" s="7">
        <f>$B15 * IFERROR(VLOOKUP("buildings|NOx|Work loss days", US_national_yearly!$D:$AM, 34, FALSE) / VLOOKUP("buildings|NOx|Work loss days", US_national_yearly!$D:$AM, 10, FALSE), 1)</f>
        <v>2.129927223950499E-2</v>
      </c>
      <c r="AA15" s="7">
        <f>$B15 * IFERROR(VLOOKUP("buildings|NOx|Work loss days", US_national_yearly!$D:$AM, 35, FALSE) / VLOOKUP("buildings|NOx|Work loss days", US_national_yearly!$D:$AM, 10, FALSE), 1)</f>
        <v>2.1424068553784328E-2</v>
      </c>
      <c r="AB15" s="7">
        <f>$B15 * IFERROR(VLOOKUP("buildings|NOx|Work loss days", US_national_yearly!$D:$AM, 36, FALSE) / VLOOKUP("buildings|NOx|Work loss days", US_national_yearly!$D:$AM, 10, FALSE), 1)</f>
        <v>2.1548864868063667E-2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2.8216769737742267E-5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2.9046345275351647E-5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2.9875920812961034E-5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3.0705496350570411E-5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3.1535071888179792E-5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3.2323153560921068E-5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3.3111235233662344E-5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3.3774328153829392E-5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3.4437421073996426E-5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3.5100513994163467E-5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3.5763606914330508E-5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3.6426699834497543E-5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3.6841487106819014E-5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3.7256274379140472E-5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3.7671061651461929E-5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3.8085848923783394E-5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3.8500636196104852E-5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3.8690164302752668E-5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3.8879692409400478E-5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3.9069220516048294E-5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3.9258748622696104E-5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3.9448276729343927E-5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3.9553917782356053E-5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3.9659558835368193E-5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3.9765199888380319E-5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3.9870840941392459E-5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3.9976481994404585E-5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9.1909932142033148E-4</v>
      </c>
      <c r="C2" s="7">
        <f>$B2 * IFERROR(VLOOKUP("buildings|SO2|Premature mortality", US_national_yearly!$D:$AM, 11, FALSE) / VLOOKUP("buildings|SO2|Premature mortality", US_national_yearly!$D:$AM, 10, FALSE), 1)</f>
        <v>9.3074285014094877E-4</v>
      </c>
      <c r="D2" s="7">
        <f>$B2 * IFERROR(VLOOKUP("buildings|SO2|Premature mortality", US_national_yearly!$D:$AM, 12, FALSE) / VLOOKUP("buildings|SO2|Premature mortality", US_national_yearly!$D:$AM, 10, FALSE), 1)</f>
        <v>9.4238637886156584E-4</v>
      </c>
      <c r="E2" s="7">
        <f>$B2 * IFERROR(VLOOKUP("buildings|SO2|Premature mortality", US_national_yearly!$D:$AM, 13, FALSE) / VLOOKUP("buildings|SO2|Premature mortality", US_national_yearly!$D:$AM, 10, FALSE), 1)</f>
        <v>9.5402990758218325E-4</v>
      </c>
      <c r="F2" s="7">
        <f>$B2 * IFERROR(VLOOKUP("buildings|SO2|Premature mortality", US_national_yearly!$D:$AM, 14, FALSE) / VLOOKUP("buildings|SO2|Premature mortality", US_national_yearly!$D:$AM, 10, FALSE), 1)</f>
        <v>9.6567343630280054E-4</v>
      </c>
      <c r="G2" s="7">
        <f>$B2 * IFERROR(VLOOKUP("buildings|SO2|Premature mortality", US_national_yearly!$D:$AM, 15, FALSE) / VLOOKUP("buildings|SO2|Premature mortality", US_national_yearly!$D:$AM, 10, FALSE), 1)</f>
        <v>9.8810815359218229E-4</v>
      </c>
      <c r="H2" s="7">
        <f>$B2 * IFERROR(VLOOKUP("buildings|SO2|Premature mortality", US_national_yearly!$D:$AM, 16, FALSE) / VLOOKUP("buildings|SO2|Premature mortality", US_national_yearly!$D:$AM, 10, FALSE), 1)</f>
        <v>1.0105428708815643E-3</v>
      </c>
      <c r="I2" s="7">
        <f>$B2 * IFERROR(VLOOKUP("buildings|SO2|Premature mortality", US_national_yearly!$D:$AM, 17, FALSE) / VLOOKUP("buildings|SO2|Premature mortality", US_national_yearly!$D:$AM, 10, FALSE), 1)</f>
        <v>1.0253765770920349E-3</v>
      </c>
      <c r="J2" s="7">
        <f>$B2 * IFERROR(VLOOKUP("buildings|SO2|Premature mortality", US_national_yearly!$D:$AM, 18, FALSE) / VLOOKUP("buildings|SO2|Premature mortality", US_national_yearly!$D:$AM, 10, FALSE), 1)</f>
        <v>1.0402102833025051E-3</v>
      </c>
      <c r="K2" s="7">
        <f>$B2 * IFERROR(VLOOKUP("buildings|SO2|Premature mortality", US_national_yearly!$D:$AM, 19, FALSE) / VLOOKUP("buildings|SO2|Premature mortality", US_national_yearly!$D:$AM, 10, FALSE), 1)</f>
        <v>1.0550439895129758E-3</v>
      </c>
      <c r="L2" s="7">
        <f>$B2 * IFERROR(VLOOKUP("buildings|SO2|Premature mortality", US_national_yearly!$D:$AM, 20, FALSE) / VLOOKUP("buildings|SO2|Premature mortality", US_national_yearly!$D:$AM, 10, FALSE), 1)</f>
        <v>1.0698776957234462E-3</v>
      </c>
      <c r="M2" s="7">
        <f>$B2 * IFERROR(VLOOKUP("buildings|SO2|Premature mortality", US_national_yearly!$D:$AM, 21, FALSE) / VLOOKUP("buildings|SO2|Premature mortality", US_national_yearly!$D:$AM, 10, FALSE), 1)</f>
        <v>1.0847114019339166E-3</v>
      </c>
      <c r="N2" s="7">
        <f>$B2 * IFERROR(VLOOKUP("buildings|SO2|Premature mortality", US_national_yearly!$D:$AM, 22, FALSE) / VLOOKUP("buildings|SO2|Premature mortality", US_national_yearly!$D:$AM, 10, FALSE), 1)</f>
        <v>1.0962989721808782E-3</v>
      </c>
      <c r="O2" s="7">
        <f>$B2 * IFERROR(VLOOKUP("buildings|SO2|Premature mortality", US_national_yearly!$D:$AM, 23, FALSE) / VLOOKUP("buildings|SO2|Premature mortality", US_national_yearly!$D:$AM, 10, FALSE), 1)</f>
        <v>1.1078865424278392E-3</v>
      </c>
      <c r="P2" s="7">
        <f>$B2 * IFERROR(VLOOKUP("buildings|SO2|Premature mortality", US_national_yearly!$D:$AM, 24, FALSE) / VLOOKUP("buildings|SO2|Premature mortality", US_national_yearly!$D:$AM, 10, FALSE), 1)</f>
        <v>1.1194741126748006E-3</v>
      </c>
      <c r="Q2" s="7">
        <f>$B2 * IFERROR(VLOOKUP("buildings|SO2|Premature mortality", US_national_yearly!$D:$AM, 25, FALSE) / VLOOKUP("buildings|SO2|Premature mortality", US_national_yearly!$D:$AM, 10, FALSE), 1)</f>
        <v>1.1310616829217619E-3</v>
      </c>
      <c r="R2" s="7">
        <f>$B2 * IFERROR(VLOOKUP("buildings|SO2|Premature mortality", US_national_yearly!$D:$AM, 26, FALSE) / VLOOKUP("buildings|SO2|Premature mortality", US_national_yearly!$D:$AM, 10, FALSE), 1)</f>
        <v>1.1426492531687233E-3</v>
      </c>
      <c r="S2" s="7">
        <f>$B2 * IFERROR(VLOOKUP("buildings|SO2|Premature mortality", US_national_yearly!$D:$AM, 27, FALSE) / VLOOKUP("buildings|SO2|Premature mortality", US_national_yearly!$D:$AM, 10, FALSE), 1)</f>
        <v>1.1488510530340112E-3</v>
      </c>
      <c r="T2" s="7">
        <f>$B2 * IFERROR(VLOOKUP("buildings|SO2|Premature mortality", US_national_yearly!$D:$AM, 28, FALSE) / VLOOKUP("buildings|SO2|Premature mortality", US_national_yearly!$D:$AM, 10, FALSE), 1)</f>
        <v>1.1550528528992995E-3</v>
      </c>
      <c r="U2" s="7">
        <f>$B2 * IFERROR(VLOOKUP("buildings|SO2|Premature mortality", US_national_yearly!$D:$AM, 29, FALSE) / VLOOKUP("buildings|SO2|Premature mortality", US_national_yearly!$D:$AM, 10, FALSE), 1)</f>
        <v>1.1612546527645876E-3</v>
      </c>
      <c r="V2" s="7">
        <f>$B2 * IFERROR(VLOOKUP("buildings|SO2|Premature mortality", US_national_yearly!$D:$AM, 30, FALSE) / VLOOKUP("buildings|SO2|Premature mortality", US_national_yearly!$D:$AM, 10, FALSE), 1)</f>
        <v>1.1674564526298759E-3</v>
      </c>
      <c r="W2" s="7">
        <f>$B2 * IFERROR(VLOOKUP("buildings|SO2|Premature mortality", US_national_yearly!$D:$AM, 31, FALSE) / VLOOKUP("buildings|SO2|Premature mortality", US_national_yearly!$D:$AM, 10, FALSE), 1)</f>
        <v>1.173658252495164E-3</v>
      </c>
      <c r="X2" s="7">
        <f>$B2 * IFERROR(VLOOKUP("buildings|SO2|Premature mortality", US_national_yearly!$D:$AM, 32, FALSE) / VLOOKUP("buildings|SO2|Premature mortality", US_national_yearly!$D:$AM, 10, FALSE), 1)</f>
        <v>1.1749114189124449E-3</v>
      </c>
      <c r="Y2" s="7">
        <f>$B2 * IFERROR(VLOOKUP("buildings|SO2|Premature mortality", US_national_yearly!$D:$AM, 33, FALSE) / VLOOKUP("buildings|SO2|Premature mortality", US_national_yearly!$D:$AM, 10, FALSE), 1)</f>
        <v>1.1761645853297258E-3</v>
      </c>
      <c r="Z2" s="7">
        <f>$B2 * IFERROR(VLOOKUP("buildings|SO2|Premature mortality", US_national_yearly!$D:$AM, 34, FALSE) / VLOOKUP("buildings|SO2|Premature mortality", US_national_yearly!$D:$AM, 10, FALSE), 1)</f>
        <v>1.1774177517470063E-3</v>
      </c>
      <c r="AA2" s="7">
        <f>$B2 * IFERROR(VLOOKUP("buildings|SO2|Premature mortality", US_national_yearly!$D:$AM, 35, FALSE) / VLOOKUP("buildings|SO2|Premature mortality", US_national_yearly!$D:$AM, 10, FALSE), 1)</f>
        <v>1.1786709181642872E-3</v>
      </c>
      <c r="AB2" s="7">
        <f>$B2 * IFERROR(VLOOKUP("buildings|SO2|Premature mortality", US_national_yearly!$D:$AM, 36, FALSE) / VLOOKUP("buildings|SO2|Premature mortality", US_national_yearly!$D:$AM, 10, FALSE), 1)</f>
        <v>1.179924084581568E-3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1.9150214975959951E-6</v>
      </c>
      <c r="C3" s="7">
        <f>$B3 * IFERROR(VLOOKUP("buildings|SO2|Infant mortality", US_national_yearly!$D:$AM, 11, FALSE) / VLOOKUP("buildings|SO2|Infant mortality", US_national_yearly!$D:$AM, 10, FALSE), 1)</f>
        <v>1.8986070685364009E-6</v>
      </c>
      <c r="D3" s="7">
        <f>$B3 * IFERROR(VLOOKUP("buildings|SO2|Infant mortality", US_national_yearly!$D:$AM, 12, FALSE) / VLOOKUP("buildings|SO2|Infant mortality", US_national_yearly!$D:$AM, 10, FALSE), 1)</f>
        <v>1.882192639476807E-6</v>
      </c>
      <c r="E3" s="7">
        <f>$B3 * IFERROR(VLOOKUP("buildings|SO2|Infant mortality", US_national_yearly!$D:$AM, 13, FALSE) / VLOOKUP("buildings|SO2|Infant mortality", US_national_yearly!$D:$AM, 10, FALSE), 1)</f>
        <v>1.865778210417213E-6</v>
      </c>
      <c r="F3" s="7">
        <f>$B3 * IFERROR(VLOOKUP("buildings|SO2|Infant mortality", US_national_yearly!$D:$AM, 14, FALSE) / VLOOKUP("buildings|SO2|Infant mortality", US_national_yearly!$D:$AM, 10, FALSE), 1)</f>
        <v>1.849363781357619E-6</v>
      </c>
      <c r="G3" s="7">
        <f>$B3 * IFERROR(VLOOKUP("buildings|SO2|Infant mortality", US_national_yearly!$D:$AM, 15, FALSE) / VLOOKUP("buildings|SO2|Infant mortality", US_national_yearly!$D:$AM, 10, FALSE), 1)</f>
        <v>1.2316030126138208E-6</v>
      </c>
      <c r="H3" s="7">
        <f>$B3 * IFERROR(VLOOKUP("buildings|SO2|Infant mortality", US_national_yearly!$D:$AM, 16, FALSE) / VLOOKUP("buildings|SO2|Infant mortality", US_national_yearly!$D:$AM, 10, FALSE), 1)</f>
        <v>6.1384224387002235E-7</v>
      </c>
      <c r="I3" s="7">
        <f>$B3 * IFERROR(VLOOKUP("buildings|SO2|Infant mortality", US_national_yearly!$D:$AM, 17, FALSE) / VLOOKUP("buildings|SO2|Infant mortality", US_national_yearly!$D:$AM, 10, FALSE), 1)</f>
        <v>6.0999092984540453E-7</v>
      </c>
      <c r="J3" s="7">
        <f>$B3 * IFERROR(VLOOKUP("buildings|SO2|Infant mortality", US_national_yearly!$D:$AM, 18, FALSE) / VLOOKUP("buildings|SO2|Infant mortality", US_national_yearly!$D:$AM, 10, FALSE), 1)</f>
        <v>6.0613961582078661E-7</v>
      </c>
      <c r="K3" s="7">
        <f>$B3 * IFERROR(VLOOKUP("buildings|SO2|Infant mortality", US_national_yearly!$D:$AM, 19, FALSE) / VLOOKUP("buildings|SO2|Infant mortality", US_national_yearly!$D:$AM, 10, FALSE), 1)</f>
        <v>6.0228830179616878E-7</v>
      </c>
      <c r="L3" s="7">
        <f>$B3 * IFERROR(VLOOKUP("buildings|SO2|Infant mortality", US_national_yearly!$D:$AM, 20, FALSE) / VLOOKUP("buildings|SO2|Infant mortality", US_national_yearly!$D:$AM, 10, FALSE), 1)</f>
        <v>5.9843698777155086E-7</v>
      </c>
      <c r="M3" s="7">
        <f>$B3 * IFERROR(VLOOKUP("buildings|SO2|Infant mortality", US_national_yearly!$D:$AM, 21, FALSE) / VLOOKUP("buildings|SO2|Infant mortality", US_national_yearly!$D:$AM, 10, FALSE), 1)</f>
        <v>5.9458567374693303E-7</v>
      </c>
      <c r="N3" s="7">
        <f>$B3 * IFERROR(VLOOKUP("buildings|SO2|Infant mortality", US_national_yearly!$D:$AM, 22, FALSE) / VLOOKUP("buildings|SO2|Infant mortality", US_national_yearly!$D:$AM, 10, FALSE), 1)</f>
        <v>5.9217130898638069E-7</v>
      </c>
      <c r="O3" s="7">
        <f>$B3 * IFERROR(VLOOKUP("buildings|SO2|Infant mortality", US_national_yearly!$D:$AM, 23, FALSE) / VLOOKUP("buildings|SO2|Infant mortality", US_national_yearly!$D:$AM, 10, FALSE), 1)</f>
        <v>5.8975694422582834E-7</v>
      </c>
      <c r="P3" s="7">
        <f>$B3 * IFERROR(VLOOKUP("buildings|SO2|Infant mortality", US_national_yearly!$D:$AM, 24, FALSE) / VLOOKUP("buildings|SO2|Infant mortality", US_national_yearly!$D:$AM, 10, FALSE), 1)</f>
        <v>5.8734257946527599E-7</v>
      </c>
      <c r="Q3" s="7">
        <f>$B3 * IFERROR(VLOOKUP("buildings|SO2|Infant mortality", US_national_yearly!$D:$AM, 25, FALSE) / VLOOKUP("buildings|SO2|Infant mortality", US_national_yearly!$D:$AM, 10, FALSE), 1)</f>
        <v>5.8492821470472375E-7</v>
      </c>
      <c r="R3" s="7">
        <f>$B3 * IFERROR(VLOOKUP("buildings|SO2|Infant mortality", US_national_yearly!$D:$AM, 26, FALSE) / VLOOKUP("buildings|SO2|Infant mortality", US_national_yearly!$D:$AM, 10, FALSE), 1)</f>
        <v>5.8251384994417141E-7</v>
      </c>
      <c r="S3" s="7">
        <f>$B3 * IFERROR(VLOOKUP("buildings|SO2|Infant mortality", US_national_yearly!$D:$AM, 27, FALSE) / VLOOKUP("buildings|SO2|Infant mortality", US_national_yearly!$D:$AM, 10, FALSE), 1)</f>
        <v>5.7948217323338674E-7</v>
      </c>
      <c r="T3" s="7">
        <f>$B3 * IFERROR(VLOOKUP("buildings|SO2|Infant mortality", US_national_yearly!$D:$AM, 28, FALSE) / VLOOKUP("buildings|SO2|Infant mortality", US_national_yearly!$D:$AM, 10, FALSE), 1)</f>
        <v>5.7645049652260218E-7</v>
      </c>
      <c r="U3" s="7">
        <f>$B3 * IFERROR(VLOOKUP("buildings|SO2|Infant mortality", US_national_yearly!$D:$AM, 29, FALSE) / VLOOKUP("buildings|SO2|Infant mortality", US_national_yearly!$D:$AM, 10, FALSE), 1)</f>
        <v>5.7341881981181751E-7</v>
      </c>
      <c r="V3" s="7">
        <f>$B3 * IFERROR(VLOOKUP("buildings|SO2|Infant mortality", US_national_yearly!$D:$AM, 30, FALSE) / VLOOKUP("buildings|SO2|Infant mortality", US_national_yearly!$D:$AM, 10, FALSE), 1)</f>
        <v>5.7038714310103285E-7</v>
      </c>
      <c r="W3" s="7">
        <f>$B3 * IFERROR(VLOOKUP("buildings|SO2|Infant mortality", US_national_yearly!$D:$AM, 31, FALSE) / VLOOKUP("buildings|SO2|Infant mortality", US_national_yearly!$D:$AM, 10, FALSE), 1)</f>
        <v>5.6735546639024829E-7</v>
      </c>
      <c r="X3" s="7">
        <f>$B3 * IFERROR(VLOOKUP("buildings|SO2|Infant mortality", US_national_yearly!$D:$AM, 32, FALSE) / VLOOKUP("buildings|SO2|Infant mortality", US_national_yearly!$D:$AM, 10, FALSE), 1)</f>
        <v>5.6404439504811107E-7</v>
      </c>
      <c r="Y3" s="7">
        <f>$B3 * IFERROR(VLOOKUP("buildings|SO2|Infant mortality", US_national_yearly!$D:$AM, 33, FALSE) / VLOOKUP("buildings|SO2|Infant mortality", US_national_yearly!$D:$AM, 10, FALSE), 1)</f>
        <v>5.6073332370597385E-7</v>
      </c>
      <c r="Z3" s="7">
        <f>$B3 * IFERROR(VLOOKUP("buildings|SO2|Infant mortality", US_national_yearly!$D:$AM, 34, FALSE) / VLOOKUP("buildings|SO2|Infant mortality", US_national_yearly!$D:$AM, 10, FALSE), 1)</f>
        <v>5.5742225236383674E-7</v>
      </c>
      <c r="AA3" s="7">
        <f>$B3 * IFERROR(VLOOKUP("buildings|SO2|Infant mortality", US_national_yearly!$D:$AM, 35, FALSE) / VLOOKUP("buildings|SO2|Infant mortality", US_national_yearly!$D:$AM, 10, FALSE), 1)</f>
        <v>5.5411118102169953E-7</v>
      </c>
      <c r="AB3" s="7">
        <f>$B3 * IFERROR(VLOOKUP("buildings|SO2|Infant mortality", US_national_yearly!$D:$AM, 36, FALSE) / VLOOKUP("buildings|SO2|Infant mortality", US_national_yearly!$D:$AM, 10, FALSE), 1)</f>
        <v>5.5080010967956242E-7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2.2844924006665064E-3</v>
      </c>
      <c r="C6" s="7">
        <f>$B6 * IFERROR(VLOOKUP("buildings|SO2|Asthma symptoms cough", US_national_yearly!$D:$AM, 11, FALSE) / VLOOKUP("buildings|SO2|Asthma symptoms cough", US_national_yearly!$D:$AM, 10, FALSE), 1)</f>
        <v>2.2844924006665064E-3</v>
      </c>
      <c r="D6" s="7">
        <f>$B6 * IFERROR(VLOOKUP("buildings|SO2|Asthma symptoms cough", US_national_yearly!$D:$AM, 12, FALSE) / VLOOKUP("buildings|SO2|Asthma symptoms cough", US_national_yearly!$D:$AM, 10, FALSE), 1)</f>
        <v>2.2844924006665064E-3</v>
      </c>
      <c r="E6" s="7">
        <f>$B6 * IFERROR(VLOOKUP("buildings|SO2|Asthma symptoms cough", US_national_yearly!$D:$AM, 13, FALSE) / VLOOKUP("buildings|SO2|Asthma symptoms cough", US_national_yearly!$D:$AM, 10, FALSE), 1)</f>
        <v>2.2844924006665064E-3</v>
      </c>
      <c r="F6" s="7">
        <f>$B6 * IFERROR(VLOOKUP("buildings|SO2|Asthma symptoms cough", US_national_yearly!$D:$AM, 14, FALSE) / VLOOKUP("buildings|SO2|Asthma symptoms cough", US_national_yearly!$D:$AM, 10, FALSE), 1)</f>
        <v>2.2844924006665064E-3</v>
      </c>
      <c r="G6" s="7">
        <f>$B6 * IFERROR(VLOOKUP("buildings|SO2|Asthma symptoms cough", US_national_yearly!$D:$AM, 15, FALSE) / VLOOKUP("buildings|SO2|Asthma symptoms cough", US_national_yearly!$D:$AM, 10, FALSE), 1)</f>
        <v>2.2844924006665064E-3</v>
      </c>
      <c r="H6" s="7">
        <f>$B6 * IFERROR(VLOOKUP("buildings|SO2|Asthma symptoms cough", US_national_yearly!$D:$AM, 16, FALSE) / VLOOKUP("buildings|SO2|Asthma symptoms cough", US_national_yearly!$D:$AM, 10, FALSE), 1)</f>
        <v>2.2844924006665064E-3</v>
      </c>
      <c r="I6" s="7">
        <f>$B6 * IFERROR(VLOOKUP("buildings|SO2|Asthma symptoms cough", US_national_yearly!$D:$AM, 17, FALSE) / VLOOKUP("buildings|SO2|Asthma symptoms cough", US_national_yearly!$D:$AM, 10, FALSE), 1)</f>
        <v>2.2844924006665064E-3</v>
      </c>
      <c r="J6" s="7">
        <f>$B6 * IFERROR(VLOOKUP("buildings|SO2|Asthma symptoms cough", US_national_yearly!$D:$AM, 18, FALSE) / VLOOKUP("buildings|SO2|Asthma symptoms cough", US_national_yearly!$D:$AM, 10, FALSE), 1)</f>
        <v>2.2844924006665064E-3</v>
      </c>
      <c r="K6" s="7">
        <f>$B6 * IFERROR(VLOOKUP("buildings|SO2|Asthma symptoms cough", US_national_yearly!$D:$AM, 19, FALSE) / VLOOKUP("buildings|SO2|Asthma symptoms cough", US_national_yearly!$D:$AM, 10, FALSE), 1)</f>
        <v>2.2844924006665064E-3</v>
      </c>
      <c r="L6" s="7">
        <f>$B6 * IFERROR(VLOOKUP("buildings|SO2|Asthma symptoms cough", US_national_yearly!$D:$AM, 20, FALSE) / VLOOKUP("buildings|SO2|Asthma symptoms cough", US_national_yearly!$D:$AM, 10, FALSE), 1)</f>
        <v>2.2844924006665064E-3</v>
      </c>
      <c r="M6" s="7">
        <f>$B6 * IFERROR(VLOOKUP("buildings|SO2|Asthma symptoms cough", US_national_yearly!$D:$AM, 21, FALSE) / VLOOKUP("buildings|SO2|Asthma symptoms cough", US_national_yearly!$D:$AM, 10, FALSE), 1)</f>
        <v>2.2844924006665064E-3</v>
      </c>
      <c r="N6" s="7">
        <f>$B6 * IFERROR(VLOOKUP("buildings|SO2|Asthma symptoms cough", US_national_yearly!$D:$AM, 22, FALSE) / VLOOKUP("buildings|SO2|Asthma symptoms cough", US_national_yearly!$D:$AM, 10, FALSE), 1)</f>
        <v>2.2844924006665064E-3</v>
      </c>
      <c r="O6" s="7">
        <f>$B6 * IFERROR(VLOOKUP("buildings|SO2|Asthma symptoms cough", US_national_yearly!$D:$AM, 23, FALSE) / VLOOKUP("buildings|SO2|Asthma symptoms cough", US_national_yearly!$D:$AM, 10, FALSE), 1)</f>
        <v>2.2844924006665064E-3</v>
      </c>
      <c r="P6" s="7">
        <f>$B6 * IFERROR(VLOOKUP("buildings|SO2|Asthma symptoms cough", US_national_yearly!$D:$AM, 24, FALSE) / VLOOKUP("buildings|SO2|Asthma symptoms cough", US_national_yearly!$D:$AM, 10, FALSE), 1)</f>
        <v>2.2844924006665064E-3</v>
      </c>
      <c r="Q6" s="7">
        <f>$B6 * IFERROR(VLOOKUP("buildings|SO2|Asthma symptoms cough", US_national_yearly!$D:$AM, 25, FALSE) / VLOOKUP("buildings|SO2|Asthma symptoms cough", US_national_yearly!$D:$AM, 10, FALSE), 1)</f>
        <v>2.2844924006665064E-3</v>
      </c>
      <c r="R6" s="7">
        <f>$B6 * IFERROR(VLOOKUP("buildings|SO2|Asthma symptoms cough", US_national_yearly!$D:$AM, 26, FALSE) / VLOOKUP("buildings|SO2|Asthma symptoms cough", US_national_yearly!$D:$AM, 10, FALSE), 1)</f>
        <v>2.2844924006665064E-3</v>
      </c>
      <c r="S6" s="7">
        <f>$B6 * IFERROR(VLOOKUP("buildings|SO2|Asthma symptoms cough", US_national_yearly!$D:$AM, 27, FALSE) / VLOOKUP("buildings|SO2|Asthma symptoms cough", US_national_yearly!$D:$AM, 10, FALSE), 1)</f>
        <v>2.2844924006665064E-3</v>
      </c>
      <c r="T6" s="7">
        <f>$B6 * IFERROR(VLOOKUP("buildings|SO2|Asthma symptoms cough", US_national_yearly!$D:$AM, 28, FALSE) / VLOOKUP("buildings|SO2|Asthma symptoms cough", US_national_yearly!$D:$AM, 10, FALSE), 1)</f>
        <v>2.2844924006665064E-3</v>
      </c>
      <c r="U6" s="7">
        <f>$B6 * IFERROR(VLOOKUP("buildings|SO2|Asthma symptoms cough", US_national_yearly!$D:$AM, 29, FALSE) / VLOOKUP("buildings|SO2|Asthma symptoms cough", US_national_yearly!$D:$AM, 10, FALSE), 1)</f>
        <v>2.2844924006665064E-3</v>
      </c>
      <c r="V6" s="7">
        <f>$B6 * IFERROR(VLOOKUP("buildings|SO2|Asthma symptoms cough", US_national_yearly!$D:$AM, 30, FALSE) / VLOOKUP("buildings|SO2|Asthma symptoms cough", US_national_yearly!$D:$AM, 10, FALSE), 1)</f>
        <v>2.2844924006665064E-3</v>
      </c>
      <c r="W6" s="7">
        <f>$B6 * IFERROR(VLOOKUP("buildings|SO2|Asthma symptoms cough", US_national_yearly!$D:$AM, 31, FALSE) / VLOOKUP("buildings|SO2|Asthma symptoms cough", US_national_yearly!$D:$AM, 10, FALSE), 1)</f>
        <v>2.2844924006665064E-3</v>
      </c>
      <c r="X6" s="7">
        <f>$B6 * IFERROR(VLOOKUP("buildings|SO2|Asthma symptoms cough", US_national_yearly!$D:$AM, 32, FALSE) / VLOOKUP("buildings|SO2|Asthma symptoms cough", US_national_yearly!$D:$AM, 10, FALSE), 1)</f>
        <v>2.2844924006665064E-3</v>
      </c>
      <c r="Y6" s="7">
        <f>$B6 * IFERROR(VLOOKUP("buildings|SO2|Asthma symptoms cough", US_national_yearly!$D:$AM, 33, FALSE) / VLOOKUP("buildings|SO2|Asthma symptoms cough", US_national_yearly!$D:$AM, 10, FALSE), 1)</f>
        <v>2.2844924006665064E-3</v>
      </c>
      <c r="Z6" s="7">
        <f>$B6 * IFERROR(VLOOKUP("buildings|SO2|Asthma symptoms cough", US_national_yearly!$D:$AM, 34, FALSE) / VLOOKUP("buildings|SO2|Asthma symptoms cough", US_national_yearly!$D:$AM, 10, FALSE), 1)</f>
        <v>2.2844924006665064E-3</v>
      </c>
      <c r="AA6" s="7">
        <f>$B6 * IFERROR(VLOOKUP("buildings|SO2|Asthma symptoms cough", US_national_yearly!$D:$AM, 35, FALSE) / VLOOKUP("buildings|SO2|Asthma symptoms cough", US_national_yearly!$D:$AM, 10, FALSE), 1)</f>
        <v>2.2844924006665064E-3</v>
      </c>
      <c r="AB6" s="7">
        <f>$B6 * IFERROR(VLOOKUP("buildings|SO2|Asthma symptoms cough", US_national_yearly!$D:$AM, 36, FALSE) / VLOOKUP("buildings|SO2|Asthma symptoms cough", US_national_yearly!$D:$AM, 10, FALSE), 1)</f>
        <v>2.2844924006665064E-3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3.0764006712517135E-3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3.0764006712517135E-3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3.0764006712517135E-3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3.0764006712517135E-3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3.0764006712517135E-3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3.0764006712517135E-3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3.0764006712517135E-3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3.0764006712517135E-3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3.0764006712517135E-3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3.0764006712517135E-3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3.0764006712517135E-3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3.0764006712517135E-3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3.0764006712517135E-3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3.0764006712517135E-3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3.0764006712517135E-3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3.0764006712517135E-3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3.0764006712517135E-3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3.0764006712517135E-3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3.0764006712517135E-3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3.0764006712517135E-3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3.0764006712517135E-3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3.0764006712517135E-3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3.0764006712517135E-3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3.0764006712517135E-3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3.0764006712517135E-3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3.0764006712517135E-3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3.0764006712517135E-3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4.70021827215598E-3</v>
      </c>
      <c r="C8" s="7">
        <f>$B8 * IFERROR(VLOOKUP("buildings|SO2|Asthma symptoms wheeze", US_national_yearly!$D:$AM, 11, FALSE) / VLOOKUP("buildings|SO2|Asthma symptoms wheeze", US_national_yearly!$D:$AM, 10, FALSE), 1)</f>
        <v>4.70021827215598E-3</v>
      </c>
      <c r="D8" s="7">
        <f>$B8 * IFERROR(VLOOKUP("buildings|SO2|Asthma symptoms wheeze", US_national_yearly!$D:$AM, 12, FALSE) / VLOOKUP("buildings|SO2|Asthma symptoms wheeze", US_national_yearly!$D:$AM, 10, FALSE), 1)</f>
        <v>4.70021827215598E-3</v>
      </c>
      <c r="E8" s="7">
        <f>$B8 * IFERROR(VLOOKUP("buildings|SO2|Asthma symptoms wheeze", US_national_yearly!$D:$AM, 13, FALSE) / VLOOKUP("buildings|SO2|Asthma symptoms wheeze", US_national_yearly!$D:$AM, 10, FALSE), 1)</f>
        <v>4.70021827215598E-3</v>
      </c>
      <c r="F8" s="7">
        <f>$B8 * IFERROR(VLOOKUP("buildings|SO2|Asthma symptoms wheeze", US_national_yearly!$D:$AM, 14, FALSE) / VLOOKUP("buildings|SO2|Asthma symptoms wheeze", US_national_yearly!$D:$AM, 10, FALSE), 1)</f>
        <v>4.70021827215598E-3</v>
      </c>
      <c r="G8" s="7">
        <f>$B8 * IFERROR(VLOOKUP("buildings|SO2|Asthma symptoms wheeze", US_national_yearly!$D:$AM, 15, FALSE) / VLOOKUP("buildings|SO2|Asthma symptoms wheeze", US_national_yearly!$D:$AM, 10, FALSE), 1)</f>
        <v>4.70021827215598E-3</v>
      </c>
      <c r="H8" s="7">
        <f>$B8 * IFERROR(VLOOKUP("buildings|SO2|Asthma symptoms wheeze", US_national_yearly!$D:$AM, 16, FALSE) / VLOOKUP("buildings|SO2|Asthma symptoms wheeze", US_national_yearly!$D:$AM, 10, FALSE), 1)</f>
        <v>4.70021827215598E-3</v>
      </c>
      <c r="I8" s="7">
        <f>$B8 * IFERROR(VLOOKUP("buildings|SO2|Asthma symptoms wheeze", US_national_yearly!$D:$AM, 17, FALSE) / VLOOKUP("buildings|SO2|Asthma symptoms wheeze", US_national_yearly!$D:$AM, 10, FALSE), 1)</f>
        <v>4.70021827215598E-3</v>
      </c>
      <c r="J8" s="7">
        <f>$B8 * IFERROR(VLOOKUP("buildings|SO2|Asthma symptoms wheeze", US_national_yearly!$D:$AM, 18, FALSE) / VLOOKUP("buildings|SO2|Asthma symptoms wheeze", US_national_yearly!$D:$AM, 10, FALSE), 1)</f>
        <v>4.70021827215598E-3</v>
      </c>
      <c r="K8" s="7">
        <f>$B8 * IFERROR(VLOOKUP("buildings|SO2|Asthma symptoms wheeze", US_national_yearly!$D:$AM, 19, FALSE) / VLOOKUP("buildings|SO2|Asthma symptoms wheeze", US_national_yearly!$D:$AM, 10, FALSE), 1)</f>
        <v>4.70021827215598E-3</v>
      </c>
      <c r="L8" s="7">
        <f>$B8 * IFERROR(VLOOKUP("buildings|SO2|Asthma symptoms wheeze", US_national_yearly!$D:$AM, 20, FALSE) / VLOOKUP("buildings|SO2|Asthma symptoms wheeze", US_national_yearly!$D:$AM, 10, FALSE), 1)</f>
        <v>4.70021827215598E-3</v>
      </c>
      <c r="M8" s="7">
        <f>$B8 * IFERROR(VLOOKUP("buildings|SO2|Asthma symptoms wheeze", US_national_yearly!$D:$AM, 21, FALSE) / VLOOKUP("buildings|SO2|Asthma symptoms wheeze", US_national_yearly!$D:$AM, 10, FALSE), 1)</f>
        <v>4.70021827215598E-3</v>
      </c>
      <c r="N8" s="7">
        <f>$B8 * IFERROR(VLOOKUP("buildings|SO2|Asthma symptoms wheeze", US_national_yearly!$D:$AM, 22, FALSE) / VLOOKUP("buildings|SO2|Asthma symptoms wheeze", US_national_yearly!$D:$AM, 10, FALSE), 1)</f>
        <v>4.70021827215598E-3</v>
      </c>
      <c r="O8" s="7">
        <f>$B8 * IFERROR(VLOOKUP("buildings|SO2|Asthma symptoms wheeze", US_national_yearly!$D:$AM, 23, FALSE) / VLOOKUP("buildings|SO2|Asthma symptoms wheeze", US_national_yearly!$D:$AM, 10, FALSE), 1)</f>
        <v>4.70021827215598E-3</v>
      </c>
      <c r="P8" s="7">
        <f>$B8 * IFERROR(VLOOKUP("buildings|SO2|Asthma symptoms wheeze", US_national_yearly!$D:$AM, 24, FALSE) / VLOOKUP("buildings|SO2|Asthma symptoms wheeze", US_national_yearly!$D:$AM, 10, FALSE), 1)</f>
        <v>4.70021827215598E-3</v>
      </c>
      <c r="Q8" s="7">
        <f>$B8 * IFERROR(VLOOKUP("buildings|SO2|Asthma symptoms wheeze", US_national_yearly!$D:$AM, 25, FALSE) / VLOOKUP("buildings|SO2|Asthma symptoms wheeze", US_national_yearly!$D:$AM, 10, FALSE), 1)</f>
        <v>4.70021827215598E-3</v>
      </c>
      <c r="R8" s="7">
        <f>$B8 * IFERROR(VLOOKUP("buildings|SO2|Asthma symptoms wheeze", US_national_yearly!$D:$AM, 26, FALSE) / VLOOKUP("buildings|SO2|Asthma symptoms wheeze", US_national_yearly!$D:$AM, 10, FALSE), 1)</f>
        <v>4.70021827215598E-3</v>
      </c>
      <c r="S8" s="7">
        <f>$B8 * IFERROR(VLOOKUP("buildings|SO2|Asthma symptoms wheeze", US_national_yearly!$D:$AM, 27, FALSE) / VLOOKUP("buildings|SO2|Asthma symptoms wheeze", US_national_yearly!$D:$AM, 10, FALSE), 1)</f>
        <v>4.70021827215598E-3</v>
      </c>
      <c r="T8" s="7">
        <f>$B8 * IFERROR(VLOOKUP("buildings|SO2|Asthma symptoms wheeze", US_national_yearly!$D:$AM, 28, FALSE) / VLOOKUP("buildings|SO2|Asthma symptoms wheeze", US_national_yearly!$D:$AM, 10, FALSE), 1)</f>
        <v>4.70021827215598E-3</v>
      </c>
      <c r="U8" s="7">
        <f>$B8 * IFERROR(VLOOKUP("buildings|SO2|Asthma symptoms wheeze", US_national_yearly!$D:$AM, 29, FALSE) / VLOOKUP("buildings|SO2|Asthma symptoms wheeze", US_national_yearly!$D:$AM, 10, FALSE), 1)</f>
        <v>4.70021827215598E-3</v>
      </c>
      <c r="V8" s="7">
        <f>$B8 * IFERROR(VLOOKUP("buildings|SO2|Asthma symptoms wheeze", US_national_yearly!$D:$AM, 30, FALSE) / VLOOKUP("buildings|SO2|Asthma symptoms wheeze", US_national_yearly!$D:$AM, 10, FALSE), 1)</f>
        <v>4.70021827215598E-3</v>
      </c>
      <c r="W8" s="7">
        <f>$B8 * IFERROR(VLOOKUP("buildings|SO2|Asthma symptoms wheeze", US_national_yearly!$D:$AM, 31, FALSE) / VLOOKUP("buildings|SO2|Asthma symptoms wheeze", US_national_yearly!$D:$AM, 10, FALSE), 1)</f>
        <v>4.70021827215598E-3</v>
      </c>
      <c r="X8" s="7">
        <f>$B8 * IFERROR(VLOOKUP("buildings|SO2|Asthma symptoms wheeze", US_national_yearly!$D:$AM, 32, FALSE) / VLOOKUP("buildings|SO2|Asthma symptoms wheeze", US_national_yearly!$D:$AM, 10, FALSE), 1)</f>
        <v>4.70021827215598E-3</v>
      </c>
      <c r="Y8" s="7">
        <f>$B8 * IFERROR(VLOOKUP("buildings|SO2|Asthma symptoms wheeze", US_national_yearly!$D:$AM, 33, FALSE) / VLOOKUP("buildings|SO2|Asthma symptoms wheeze", US_national_yearly!$D:$AM, 10, FALSE), 1)</f>
        <v>4.70021827215598E-3</v>
      </c>
      <c r="Z8" s="7">
        <f>$B8 * IFERROR(VLOOKUP("buildings|SO2|Asthma symptoms wheeze", US_national_yearly!$D:$AM, 34, FALSE) / VLOOKUP("buildings|SO2|Asthma symptoms wheeze", US_national_yearly!$D:$AM, 10, FALSE), 1)</f>
        <v>4.70021827215598E-3</v>
      </c>
      <c r="AA8" s="7">
        <f>$B8 * IFERROR(VLOOKUP("buildings|SO2|Asthma symptoms wheeze", US_national_yearly!$D:$AM, 35, FALSE) / VLOOKUP("buildings|SO2|Asthma symptoms wheeze", US_national_yearly!$D:$AM, 10, FALSE), 1)</f>
        <v>4.70021827215598E-3</v>
      </c>
      <c r="AB8" s="7">
        <f>$B8 * IFERROR(VLOOKUP("buildings|SO2|Asthma symptoms wheeze", US_national_yearly!$D:$AM, 36, FALSE) / VLOOKUP("buildings|SO2|Asthma symptoms wheeze", US_national_yearly!$D:$AM, 10, FALSE), 1)</f>
        <v>4.70021827215598E-3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7.7447674943209862E-5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7.7905110575456879E-5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7.8362546207703896E-5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7.8819981839950914E-5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7.9277417472197918E-5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7.977596468086171E-5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8.0274511889525502E-5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8.0765137342682058E-5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8.1255762795838613E-5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8.1746388248995155E-5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8.223701370215171E-5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8.2727639155308265E-5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8.3085876954618225E-5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8.3444114753928171E-5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8.3802352553238131E-5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8.416059035254809E-5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8.4518828151858037E-5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8.4860412098598177E-5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8.520199604533833E-5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8.5543579992078471E-5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8.5885163938818611E-5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8.6226747885558765E-5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8.6551341758907515E-5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8.6875935632256293E-5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8.7200529505605044E-5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8.7525123378953795E-5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8.784971725230256E-5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3.7233720754383719E-4</v>
      </c>
      <c r="C13" s="7">
        <f>$B13 * IFERROR(VLOOKUP("buildings|SO2|Non-fatal heart attacks", US_national_yearly!$D:$AM, 11, FALSE) / VLOOKUP("buildings|SO2|Non-fatal heart attacks", US_national_yearly!$D:$AM, 10, FALSE), 1)</f>
        <v>3.8327120945476465E-4</v>
      </c>
      <c r="D13" s="7">
        <f>$B13 * IFERROR(VLOOKUP("buildings|SO2|Non-fatal heart attacks", US_national_yearly!$D:$AM, 12, FALSE) / VLOOKUP("buildings|SO2|Non-fatal heart attacks", US_national_yearly!$D:$AM, 10, FALSE), 1)</f>
        <v>3.9420521136569205E-4</v>
      </c>
      <c r="E13" s="7">
        <f>$B13 * IFERROR(VLOOKUP("buildings|SO2|Non-fatal heart attacks", US_national_yearly!$D:$AM, 13, FALSE) / VLOOKUP("buildings|SO2|Non-fatal heart attacks", US_national_yearly!$D:$AM, 10, FALSE), 1)</f>
        <v>4.051392132766194E-4</v>
      </c>
      <c r="F13" s="7">
        <f>$B13 * IFERROR(VLOOKUP("buildings|SO2|Non-fatal heart attacks", US_national_yearly!$D:$AM, 14, FALSE) / VLOOKUP("buildings|SO2|Non-fatal heart attacks", US_national_yearly!$D:$AM, 10, FALSE), 1)</f>
        <v>4.1607321518754686E-4</v>
      </c>
      <c r="G13" s="7">
        <f>$B13 * IFERROR(VLOOKUP("buildings|SO2|Non-fatal heart attacks", US_national_yearly!$D:$AM, 15, FALSE) / VLOOKUP("buildings|SO2|Non-fatal heart attacks", US_national_yearly!$D:$AM, 10, FALSE), 1)</f>
        <v>4.2638574242857369E-4</v>
      </c>
      <c r="H13" s="7">
        <f>$B13 * IFERROR(VLOOKUP("buildings|SO2|Non-fatal heart attacks", US_national_yearly!$D:$AM, 16, FALSE) / VLOOKUP("buildings|SO2|Non-fatal heart attacks", US_national_yearly!$D:$AM, 10, FALSE), 1)</f>
        <v>4.3669826966960057E-4</v>
      </c>
      <c r="I13" s="7">
        <f>$B13 * IFERROR(VLOOKUP("buildings|SO2|Non-fatal heart attacks", US_national_yearly!$D:$AM, 17, FALSE) / VLOOKUP("buildings|SO2|Non-fatal heart attacks", US_national_yearly!$D:$AM, 10, FALSE), 1)</f>
        <v>4.4499917054544703E-4</v>
      </c>
      <c r="J13" s="7">
        <f>$B13 * IFERROR(VLOOKUP("buildings|SO2|Non-fatal heart attacks", US_national_yearly!$D:$AM, 18, FALSE) / VLOOKUP("buildings|SO2|Non-fatal heart attacks", US_national_yearly!$D:$AM, 10, FALSE), 1)</f>
        <v>4.5330007142129359E-4</v>
      </c>
      <c r="K13" s="7">
        <f>$B13 * IFERROR(VLOOKUP("buildings|SO2|Non-fatal heart attacks", US_national_yearly!$D:$AM, 19, FALSE) / VLOOKUP("buildings|SO2|Non-fatal heart attacks", US_national_yearly!$D:$AM, 10, FALSE), 1)</f>
        <v>4.6160097229714015E-4</v>
      </c>
      <c r="L13" s="7">
        <f>$B13 * IFERROR(VLOOKUP("buildings|SO2|Non-fatal heart attacks", US_national_yearly!$D:$AM, 20, FALSE) / VLOOKUP("buildings|SO2|Non-fatal heart attacks", US_national_yearly!$D:$AM, 10, FALSE), 1)</f>
        <v>4.6990187317298682E-4</v>
      </c>
      <c r="M13" s="7">
        <f>$B13 * IFERROR(VLOOKUP("buildings|SO2|Non-fatal heart attacks", US_national_yearly!$D:$AM, 21, FALSE) / VLOOKUP("buildings|SO2|Non-fatal heart attacks", US_national_yearly!$D:$AM, 10, FALSE), 1)</f>
        <v>4.7820277404883338E-4</v>
      </c>
      <c r="N13" s="7">
        <f>$B13 * IFERROR(VLOOKUP("buildings|SO2|Non-fatal heart attacks", US_national_yearly!$D:$AM, 22, FALSE) / VLOOKUP("buildings|SO2|Non-fatal heart attacks", US_national_yearly!$D:$AM, 10, FALSE), 1)</f>
        <v>4.8359044459157238E-4</v>
      </c>
      <c r="O13" s="7">
        <f>$B13 * IFERROR(VLOOKUP("buildings|SO2|Non-fatal heart attacks", US_national_yearly!$D:$AM, 23, FALSE) / VLOOKUP("buildings|SO2|Non-fatal heart attacks", US_national_yearly!$D:$AM, 10, FALSE), 1)</f>
        <v>4.8897811513431153E-4</v>
      </c>
      <c r="P13" s="7">
        <f>$B13 * IFERROR(VLOOKUP("buildings|SO2|Non-fatal heart attacks", US_national_yearly!$D:$AM, 24, FALSE) / VLOOKUP("buildings|SO2|Non-fatal heart attacks", US_national_yearly!$D:$AM, 10, FALSE), 1)</f>
        <v>4.9436578567705052E-4</v>
      </c>
      <c r="Q13" s="7">
        <f>$B13 * IFERROR(VLOOKUP("buildings|SO2|Non-fatal heart attacks", US_national_yearly!$D:$AM, 25, FALSE) / VLOOKUP("buildings|SO2|Non-fatal heart attacks", US_national_yearly!$D:$AM, 10, FALSE), 1)</f>
        <v>4.9975345621978951E-4</v>
      </c>
      <c r="R13" s="7">
        <f>$B13 * IFERROR(VLOOKUP("buildings|SO2|Non-fatal heart attacks", US_national_yearly!$D:$AM, 26, FALSE) / VLOOKUP("buildings|SO2|Non-fatal heart attacks", US_national_yearly!$D:$AM, 10, FALSE), 1)</f>
        <v>5.0514112676252861E-4</v>
      </c>
      <c r="S13" s="7">
        <f>$B13 * IFERROR(VLOOKUP("buildings|SO2|Non-fatal heart attacks", US_national_yearly!$D:$AM, 27, FALSE) / VLOOKUP("buildings|SO2|Non-fatal heart attacks", US_national_yearly!$D:$AM, 10, FALSE), 1)</f>
        <v>5.0795455949830014E-4</v>
      </c>
      <c r="T13" s="7">
        <f>$B13 * IFERROR(VLOOKUP("buildings|SO2|Non-fatal heart attacks", US_national_yearly!$D:$AM, 28, FALSE) / VLOOKUP("buildings|SO2|Non-fatal heart attacks", US_national_yearly!$D:$AM, 10, FALSE), 1)</f>
        <v>5.1076799223407179E-4</v>
      </c>
      <c r="U13" s="7">
        <f>$B13 * IFERROR(VLOOKUP("buildings|SO2|Non-fatal heart attacks", US_national_yearly!$D:$AM, 29, FALSE) / VLOOKUP("buildings|SO2|Non-fatal heart attacks", US_national_yearly!$D:$AM, 10, FALSE), 1)</f>
        <v>5.135814249698431E-4</v>
      </c>
      <c r="V13" s="7">
        <f>$B13 * IFERROR(VLOOKUP("buildings|SO2|Non-fatal heart attacks", US_national_yearly!$D:$AM, 30, FALSE) / VLOOKUP("buildings|SO2|Non-fatal heart attacks", US_national_yearly!$D:$AM, 10, FALSE), 1)</f>
        <v>5.1639485770561475E-4</v>
      </c>
      <c r="W13" s="7">
        <f>$B13 * IFERROR(VLOOKUP("buildings|SO2|Non-fatal heart attacks", US_national_yearly!$D:$AM, 31, FALSE) / VLOOKUP("buildings|SO2|Non-fatal heart attacks", US_national_yearly!$D:$AM, 10, FALSE), 1)</f>
        <v>5.1920829044138617E-4</v>
      </c>
      <c r="X13" s="7">
        <f>$B13 * IFERROR(VLOOKUP("buildings|SO2|Non-fatal heart attacks", US_national_yearly!$D:$AM, 32, FALSE) / VLOOKUP("buildings|SO2|Non-fatal heart attacks", US_national_yearly!$D:$AM, 10, FALSE), 1)</f>
        <v>5.213332014464972E-4</v>
      </c>
      <c r="Y13" s="7">
        <f>$B13 * IFERROR(VLOOKUP("buildings|SO2|Non-fatal heart attacks", US_national_yearly!$D:$AM, 33, FALSE) / VLOOKUP("buildings|SO2|Non-fatal heart attacks", US_national_yearly!$D:$AM, 10, FALSE), 1)</f>
        <v>5.2345811245160822E-4</v>
      </c>
      <c r="Z13" s="7">
        <f>$B13 * IFERROR(VLOOKUP("buildings|SO2|Non-fatal heart attacks", US_national_yearly!$D:$AM, 34, FALSE) / VLOOKUP("buildings|SO2|Non-fatal heart attacks", US_national_yearly!$D:$AM, 10, FALSE), 1)</f>
        <v>5.2558302345671903E-4</v>
      </c>
      <c r="AA13" s="7">
        <f>$B13 * IFERROR(VLOOKUP("buildings|SO2|Non-fatal heart attacks", US_national_yearly!$D:$AM, 35, FALSE) / VLOOKUP("buildings|SO2|Non-fatal heart attacks", US_national_yearly!$D:$AM, 10, FALSE), 1)</f>
        <v>5.2770793446183005E-4</v>
      </c>
      <c r="AB13" s="7">
        <f>$B13 * IFERROR(VLOOKUP("buildings|SO2|Non-fatal heart attacks", US_national_yearly!$D:$AM, 36, FALSE) / VLOOKUP("buildings|SO2|Non-fatal heart attacks", US_national_yearly!$D:$AM, 10, FALSE), 1)</f>
        <v>5.2983284546694097E-4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0.27122925320691488</v>
      </c>
      <c r="C14" s="7">
        <f>$B14 * IFERROR(VLOOKUP("buildings|SO2|Minor restricted activity days", US_national_yearly!$D:$AM, 11, FALSE) / VLOOKUP("buildings|SO2|Minor restricted activity days", US_national_yearly!$D:$AM, 10, FALSE), 1)</f>
        <v>0.27191585577351685</v>
      </c>
      <c r="D14" s="7">
        <f>$B14 * IFERROR(VLOOKUP("buildings|SO2|Minor restricted activity days", US_national_yearly!$D:$AM, 12, FALSE) / VLOOKUP("buildings|SO2|Minor restricted activity days", US_national_yearly!$D:$AM, 10, FALSE), 1)</f>
        <v>0.27260245834011887</v>
      </c>
      <c r="E14" s="7">
        <f>$B14 * IFERROR(VLOOKUP("buildings|SO2|Minor restricted activity days", US_national_yearly!$D:$AM, 13, FALSE) / VLOOKUP("buildings|SO2|Minor restricted activity days", US_national_yearly!$D:$AM, 10, FALSE), 1)</f>
        <v>0.27328906090672089</v>
      </c>
      <c r="F14" s="7">
        <f>$B14 * IFERROR(VLOOKUP("buildings|SO2|Minor restricted activity days", US_national_yearly!$D:$AM, 14, FALSE) / VLOOKUP("buildings|SO2|Minor restricted activity days", US_national_yearly!$D:$AM, 10, FALSE), 1)</f>
        <v>0.27397566347332286</v>
      </c>
      <c r="G14" s="7">
        <f>$B14 * IFERROR(VLOOKUP("buildings|SO2|Minor restricted activity days", US_national_yearly!$D:$AM, 15, FALSE) / VLOOKUP("buildings|SO2|Minor restricted activity days", US_national_yearly!$D:$AM, 10, FALSE), 1)</f>
        <v>0.27498524129454699</v>
      </c>
      <c r="H14" s="7">
        <f>$B14 * IFERROR(VLOOKUP("buildings|SO2|Minor restricted activity days", US_national_yearly!$D:$AM, 16, FALSE) / VLOOKUP("buildings|SO2|Minor restricted activity days", US_national_yearly!$D:$AM, 10, FALSE), 1)</f>
        <v>0.27599481911577112</v>
      </c>
      <c r="I14" s="7">
        <f>$B14 * IFERROR(VLOOKUP("buildings|SO2|Minor restricted activity days", US_national_yearly!$D:$AM, 17, FALSE) / VLOOKUP("buildings|SO2|Minor restricted activity days", US_national_yearly!$D:$AM, 10, FALSE), 1)</f>
        <v>0.27771423174475762</v>
      </c>
      <c r="J14" s="7">
        <f>$B14 * IFERROR(VLOOKUP("buildings|SO2|Minor restricted activity days", US_national_yearly!$D:$AM, 18, FALSE) / VLOOKUP("buildings|SO2|Minor restricted activity days", US_national_yearly!$D:$AM, 10, FALSE), 1)</f>
        <v>0.27943364437374418</v>
      </c>
      <c r="K14" s="7">
        <f>$B14 * IFERROR(VLOOKUP("buildings|SO2|Minor restricted activity days", US_national_yearly!$D:$AM, 19, FALSE) / VLOOKUP("buildings|SO2|Minor restricted activity days", US_national_yearly!$D:$AM, 10, FALSE), 1)</f>
        <v>0.28115305700273063</v>
      </c>
      <c r="L14" s="7">
        <f>$B14 * IFERROR(VLOOKUP("buildings|SO2|Minor restricted activity days", US_national_yearly!$D:$AM, 20, FALSE) / VLOOKUP("buildings|SO2|Minor restricted activity days", US_national_yearly!$D:$AM, 10, FALSE), 1)</f>
        <v>0.28287246963171714</v>
      </c>
      <c r="M14" s="7">
        <f>$B14 * IFERROR(VLOOKUP("buildings|SO2|Minor restricted activity days", US_national_yearly!$D:$AM, 21, FALSE) / VLOOKUP("buildings|SO2|Minor restricted activity days", US_national_yearly!$D:$AM, 10, FALSE), 1)</f>
        <v>0.28459188226070364</v>
      </c>
      <c r="N14" s="7">
        <f>$B14 * IFERROR(VLOOKUP("buildings|SO2|Minor restricted activity days", US_national_yearly!$D:$AM, 22, FALSE) / VLOOKUP("buildings|SO2|Minor restricted activity days", US_national_yearly!$D:$AM, 10, FALSE), 1)</f>
        <v>0.28694308867710533</v>
      </c>
      <c r="O14" s="7">
        <f>$B14 * IFERROR(VLOOKUP("buildings|SO2|Minor restricted activity days", US_national_yearly!$D:$AM, 23, FALSE) / VLOOKUP("buildings|SO2|Minor restricted activity days", US_national_yearly!$D:$AM, 10, FALSE), 1)</f>
        <v>0.28929429509350696</v>
      </c>
      <c r="P14" s="7">
        <f>$B14 * IFERROR(VLOOKUP("buildings|SO2|Minor restricted activity days", US_national_yearly!$D:$AM, 24, FALSE) / VLOOKUP("buildings|SO2|Minor restricted activity days", US_national_yearly!$D:$AM, 10, FALSE), 1)</f>
        <v>0.29164550150990853</v>
      </c>
      <c r="Q14" s="7">
        <f>$B14 * IFERROR(VLOOKUP("buildings|SO2|Minor restricted activity days", US_national_yearly!$D:$AM, 25, FALSE) / VLOOKUP("buildings|SO2|Minor restricted activity days", US_national_yearly!$D:$AM, 10, FALSE), 1)</f>
        <v>0.29399670792631022</v>
      </c>
      <c r="R14" s="7">
        <f>$B14 * IFERROR(VLOOKUP("buildings|SO2|Minor restricted activity days", US_national_yearly!$D:$AM, 26, FALSE) / VLOOKUP("buildings|SO2|Minor restricted activity days", US_national_yearly!$D:$AM, 10, FALSE), 1)</f>
        <v>0.29634791434271185</v>
      </c>
      <c r="S14" s="7">
        <f>$B14 * IFERROR(VLOOKUP("buildings|SO2|Minor restricted activity days", US_national_yearly!$D:$AM, 27, FALSE) / VLOOKUP("buildings|SO2|Minor restricted activity days", US_national_yearly!$D:$AM, 10, FALSE), 1)</f>
        <v>0.29874481663983399</v>
      </c>
      <c r="T14" s="7">
        <f>$B14 * IFERROR(VLOOKUP("buildings|SO2|Minor restricted activity days", US_national_yearly!$D:$AM, 28, FALSE) / VLOOKUP("buildings|SO2|Minor restricted activity days", US_national_yearly!$D:$AM, 10, FALSE), 1)</f>
        <v>0.30114171893695607</v>
      </c>
      <c r="U14" s="7">
        <f>$B14 * IFERROR(VLOOKUP("buildings|SO2|Minor restricted activity days", US_national_yearly!$D:$AM, 29, FALSE) / VLOOKUP("buildings|SO2|Minor restricted activity days", US_national_yearly!$D:$AM, 10, FALSE), 1)</f>
        <v>0.30353862123407815</v>
      </c>
      <c r="V14" s="7">
        <f>$B14 * IFERROR(VLOOKUP("buildings|SO2|Minor restricted activity days", US_national_yearly!$D:$AM, 30, FALSE) / VLOOKUP("buildings|SO2|Minor restricted activity days", US_national_yearly!$D:$AM, 10, FALSE), 1)</f>
        <v>0.30593552353120029</v>
      </c>
      <c r="W14" s="7">
        <f>$B14 * IFERROR(VLOOKUP("buildings|SO2|Minor restricted activity days", US_national_yearly!$D:$AM, 31, FALSE) / VLOOKUP("buildings|SO2|Minor restricted activity days", US_national_yearly!$D:$AM, 10, FALSE), 1)</f>
        <v>0.30833242582832243</v>
      </c>
      <c r="X14" s="7">
        <f>$B14 * IFERROR(VLOOKUP("buildings|SO2|Minor restricted activity days", US_national_yearly!$D:$AM, 32, FALSE) / VLOOKUP("buildings|SO2|Minor restricted activity days", US_national_yearly!$D:$AM, 10, FALSE), 1)</f>
        <v>0.31044036268757019</v>
      </c>
      <c r="Y14" s="7">
        <f>$B14 * IFERROR(VLOOKUP("buildings|SO2|Minor restricted activity days", US_national_yearly!$D:$AM, 33, FALSE) / VLOOKUP("buildings|SO2|Minor restricted activity days", US_national_yearly!$D:$AM, 10, FALSE), 1)</f>
        <v>0.31254829954681801</v>
      </c>
      <c r="Z14" s="7">
        <f>$B14 * IFERROR(VLOOKUP("buildings|SO2|Minor restricted activity days", US_national_yearly!$D:$AM, 34, FALSE) / VLOOKUP("buildings|SO2|Minor restricted activity days", US_national_yearly!$D:$AM, 10, FALSE), 1)</f>
        <v>0.31465623640606577</v>
      </c>
      <c r="AA14" s="7">
        <f>$B14 * IFERROR(VLOOKUP("buildings|SO2|Minor restricted activity days", US_national_yearly!$D:$AM, 35, FALSE) / VLOOKUP("buildings|SO2|Minor restricted activity days", US_national_yearly!$D:$AM, 10, FALSE), 1)</f>
        <v>0.31676417326531359</v>
      </c>
      <c r="AB14" s="7">
        <f>$B14 * IFERROR(VLOOKUP("buildings|SO2|Minor restricted activity days", US_national_yearly!$D:$AM, 36, FALSE) / VLOOKUP("buildings|SO2|Minor restricted activity days", US_national_yearly!$D:$AM, 10, FALSE), 1)</f>
        <v>0.31887211012456135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4.5780503482322293E-2</v>
      </c>
      <c r="C15" s="7">
        <f>$B15 * IFERROR(VLOOKUP("buildings|SO2|Work loss days", US_national_yearly!$D:$AM, 11, FALSE) / VLOOKUP("buildings|SO2|Work loss days", US_national_yearly!$D:$AM, 10, FALSE), 1)</f>
        <v>4.5929243592586003E-2</v>
      </c>
      <c r="D15" s="7">
        <f>$B15 * IFERROR(VLOOKUP("buildings|SO2|Work loss days", US_national_yearly!$D:$AM, 12, FALSE) / VLOOKUP("buildings|SO2|Work loss days", US_national_yearly!$D:$AM, 10, FALSE), 1)</f>
        <v>4.6077983702849705E-2</v>
      </c>
      <c r="E15" s="7">
        <f>$B15 * IFERROR(VLOOKUP("buildings|SO2|Work loss days", US_national_yearly!$D:$AM, 13, FALSE) / VLOOKUP("buildings|SO2|Work loss days", US_national_yearly!$D:$AM, 10, FALSE), 1)</f>
        <v>4.6226723813113414E-2</v>
      </c>
      <c r="F15" s="7">
        <f>$B15 * IFERROR(VLOOKUP("buildings|SO2|Work loss days", US_national_yearly!$D:$AM, 14, FALSE) / VLOOKUP("buildings|SO2|Work loss days", US_national_yearly!$D:$AM, 10, FALSE), 1)</f>
        <v>4.637546392337711E-2</v>
      </c>
      <c r="G15" s="7">
        <f>$B15 * IFERROR(VLOOKUP("buildings|SO2|Work loss days", US_national_yearly!$D:$AM, 15, FALSE) / VLOOKUP("buildings|SO2|Work loss days", US_national_yearly!$D:$AM, 10, FALSE), 1)</f>
        <v>4.6569726738454095E-2</v>
      </c>
      <c r="H15" s="7">
        <f>$B15 * IFERROR(VLOOKUP("buildings|SO2|Work loss days", US_national_yearly!$D:$AM, 16, FALSE) / VLOOKUP("buildings|SO2|Work loss days", US_national_yearly!$D:$AM, 10, FALSE), 1)</f>
        <v>4.6763989553531095E-2</v>
      </c>
      <c r="I15" s="7">
        <f>$B15 * IFERROR(VLOOKUP("buildings|SO2|Work loss days", US_national_yearly!$D:$AM, 17, FALSE) / VLOOKUP("buildings|SO2|Work loss days", US_national_yearly!$D:$AM, 10, FALSE), 1)</f>
        <v>4.7048012662484234E-2</v>
      </c>
      <c r="J15" s="7">
        <f>$B15 * IFERROR(VLOOKUP("buildings|SO2|Work loss days", US_national_yearly!$D:$AM, 18, FALSE) / VLOOKUP("buildings|SO2|Work loss days", US_national_yearly!$D:$AM, 10, FALSE), 1)</f>
        <v>4.733203577143736E-2</v>
      </c>
      <c r="K15" s="7">
        <f>$B15 * IFERROR(VLOOKUP("buildings|SO2|Work loss days", US_national_yearly!$D:$AM, 19, FALSE) / VLOOKUP("buildings|SO2|Work loss days", US_national_yearly!$D:$AM, 10, FALSE), 1)</f>
        <v>4.7616058880390506E-2</v>
      </c>
      <c r="L15" s="7">
        <f>$B15 * IFERROR(VLOOKUP("buildings|SO2|Work loss days", US_national_yearly!$D:$AM, 20, FALSE) / VLOOKUP("buildings|SO2|Work loss days", US_national_yearly!$D:$AM, 10, FALSE), 1)</f>
        <v>4.7900081989343632E-2</v>
      </c>
      <c r="M15" s="7">
        <f>$B15 * IFERROR(VLOOKUP("buildings|SO2|Work loss days", US_national_yearly!$D:$AM, 21, FALSE) / VLOOKUP("buildings|SO2|Work loss days", US_national_yearly!$D:$AM, 10, FALSE), 1)</f>
        <v>4.8184105098296764E-2</v>
      </c>
      <c r="N15" s="7">
        <f>$B15 * IFERROR(VLOOKUP("buildings|SO2|Work loss days", US_national_yearly!$D:$AM, 22, FALSE) / VLOOKUP("buildings|SO2|Work loss days", US_national_yearly!$D:$AM, 10, FALSE), 1)</f>
        <v>4.8540265424260452E-2</v>
      </c>
      <c r="O15" s="7">
        <f>$B15 * IFERROR(VLOOKUP("buildings|SO2|Work loss days", US_national_yearly!$D:$AM, 23, FALSE) / VLOOKUP("buildings|SO2|Work loss days", US_national_yearly!$D:$AM, 10, FALSE), 1)</f>
        <v>4.8896425750224126E-2</v>
      </c>
      <c r="P15" s="7">
        <f>$B15 * IFERROR(VLOOKUP("buildings|SO2|Work loss days", US_national_yearly!$D:$AM, 24, FALSE) / VLOOKUP("buildings|SO2|Work loss days", US_national_yearly!$D:$AM, 10, FALSE), 1)</f>
        <v>4.9252586076187807E-2</v>
      </c>
      <c r="Q15" s="7">
        <f>$B15 * IFERROR(VLOOKUP("buildings|SO2|Work loss days", US_national_yearly!$D:$AM, 25, FALSE) / VLOOKUP("buildings|SO2|Work loss days", US_national_yearly!$D:$AM, 10, FALSE), 1)</f>
        <v>4.9608746402151495E-2</v>
      </c>
      <c r="R15" s="7">
        <f>$B15 * IFERROR(VLOOKUP("buildings|SO2|Work loss days", US_national_yearly!$D:$AM, 26, FALSE) / VLOOKUP("buildings|SO2|Work loss days", US_national_yearly!$D:$AM, 10, FALSE), 1)</f>
        <v>4.9964906728115162E-2</v>
      </c>
      <c r="S15" s="7">
        <f>$B15 * IFERROR(VLOOKUP("buildings|SO2|Work loss days", US_national_yearly!$D:$AM, 27, FALSE) / VLOOKUP("buildings|SO2|Work loss days", US_national_yearly!$D:$AM, 10, FALSE), 1)</f>
        <v>5.0362769009911212E-2</v>
      </c>
      <c r="T15" s="7">
        <f>$B15 * IFERROR(VLOOKUP("buildings|SO2|Work loss days", US_national_yearly!$D:$AM, 28, FALSE) / VLOOKUP("buildings|SO2|Work loss days", US_national_yearly!$D:$AM, 10, FALSE), 1)</f>
        <v>5.076063129170727E-2</v>
      </c>
      <c r="U15" s="7">
        <f>$B15 * IFERROR(VLOOKUP("buildings|SO2|Work loss days", US_national_yearly!$D:$AM, 29, FALSE) / VLOOKUP("buildings|SO2|Work loss days", US_national_yearly!$D:$AM, 10, FALSE), 1)</f>
        <v>5.1158493573503321E-2</v>
      </c>
      <c r="V15" s="7">
        <f>$B15 * IFERROR(VLOOKUP("buildings|SO2|Work loss days", US_national_yearly!$D:$AM, 30, FALSE) / VLOOKUP("buildings|SO2|Work loss days", US_national_yearly!$D:$AM, 10, FALSE), 1)</f>
        <v>5.1556355855299364E-2</v>
      </c>
      <c r="W15" s="7">
        <f>$B15 * IFERROR(VLOOKUP("buildings|SO2|Work loss days", US_national_yearly!$D:$AM, 31, FALSE) / VLOOKUP("buildings|SO2|Work loss days", US_national_yearly!$D:$AM, 10, FALSE), 1)</f>
        <v>5.1954218137095415E-2</v>
      </c>
      <c r="X15" s="7">
        <f>$B15 * IFERROR(VLOOKUP("buildings|SO2|Work loss days", US_national_yearly!$D:$AM, 32, FALSE) / VLOOKUP("buildings|SO2|Work loss days", US_national_yearly!$D:$AM, 10, FALSE), 1)</f>
        <v>5.2311451568549702E-2</v>
      </c>
      <c r="Y15" s="7">
        <f>$B15 * IFERROR(VLOOKUP("buildings|SO2|Work loss days", US_national_yearly!$D:$AM, 33, FALSE) / VLOOKUP("buildings|SO2|Work loss days", US_national_yearly!$D:$AM, 10, FALSE), 1)</f>
        <v>5.266868500000399E-2</v>
      </c>
      <c r="Z15" s="7">
        <f>$B15 * IFERROR(VLOOKUP("buildings|SO2|Work loss days", US_national_yearly!$D:$AM, 34, FALSE) / VLOOKUP("buildings|SO2|Work loss days", US_national_yearly!$D:$AM, 10, FALSE), 1)</f>
        <v>5.3025918431458263E-2</v>
      </c>
      <c r="AA15" s="7">
        <f>$B15 * IFERROR(VLOOKUP("buildings|SO2|Work loss days", US_national_yearly!$D:$AM, 35, FALSE) / VLOOKUP("buildings|SO2|Work loss days", US_national_yearly!$D:$AM, 10, FALSE), 1)</f>
        <v>5.3383151862912544E-2</v>
      </c>
      <c r="AB15" s="7">
        <f>$B15 * IFERROR(VLOOKUP("buildings|SO2|Work loss days", US_national_yearly!$D:$AM, 36, FALSE) / VLOOKUP("buildings|SO2|Work loss days", US_national_yearly!$D:$AM, 10, FALSE), 1)</f>
        <v>5.3740385294366817E-2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7.1969790515693475E-5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7.4146830509846866E-5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7.6323870504000258E-5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7.8500910498153663E-5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8.067795049230704E-5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8.2763424404825486E-5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8.4848898317343917E-5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8.6636145259239304E-5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8.8423392201134664E-5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9.0210639143030065E-5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9.1997886084925438E-5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9.3785133026820798E-5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9.4985233529887037E-5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9.6185334032953277E-5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9.7385434536019516E-5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9.8585535039085728E-5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9.9785635542151967E-5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1.0041674304492703E-4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1.0104785054770209E-4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1.0167895805047712E-4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1.0231006555325219E-4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1.0294117305602722E-4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1.0336496316289736E-4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1.0378875326976747E-4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1.0421254337663759E-4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1.0463633348350773E-4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1.0506012359037784E-4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7.76200957044314E-3</v>
      </c>
      <c r="C2" s="7">
        <f>$B2 * IFERROR(VLOOKUP("industry|PM25|Premature mortality", US_national_yearly!$D:$AM, 11, FALSE) / VLOOKUP("industry|PM25|Premature mortality", US_national_yearly!$D:$AM, 10, FALSE), 1)</f>
        <v>7.8586719550232057E-3</v>
      </c>
      <c r="D2" s="7">
        <f>$B2 * IFERROR(VLOOKUP("industry|PM25|Premature mortality", US_national_yearly!$D:$AM, 12, FALSE) / VLOOKUP("industry|PM25|Premature mortality", US_national_yearly!$D:$AM, 10, FALSE), 1)</f>
        <v>7.9553343396032688E-3</v>
      </c>
      <c r="E2" s="7">
        <f>$B2 * IFERROR(VLOOKUP("industry|PM25|Premature mortality", US_national_yearly!$D:$AM, 13, FALSE) / VLOOKUP("industry|PM25|Premature mortality", US_national_yearly!$D:$AM, 10, FALSE), 1)</f>
        <v>8.0519967241833336E-3</v>
      </c>
      <c r="F2" s="7">
        <f>$B2 * IFERROR(VLOOKUP("industry|PM25|Premature mortality", US_national_yearly!$D:$AM, 14, FALSE) / VLOOKUP("industry|PM25|Premature mortality", US_national_yearly!$D:$AM, 10, FALSE), 1)</f>
        <v>8.1486591087633967E-3</v>
      </c>
      <c r="G2" s="7">
        <f>$B2 * IFERROR(VLOOKUP("industry|PM25|Premature mortality", US_national_yearly!$D:$AM, 15, FALSE) / VLOOKUP("industry|PM25|Premature mortality", US_national_yearly!$D:$AM, 10, FALSE), 1)</f>
        <v>8.3367142765605438E-3</v>
      </c>
      <c r="H2" s="7">
        <f>$B2 * IFERROR(VLOOKUP("industry|PM25|Premature mortality", US_national_yearly!$D:$AM, 16, FALSE) / VLOOKUP("industry|PM25|Premature mortality", US_national_yearly!$D:$AM, 10, FALSE), 1)</f>
        <v>8.5247694443576928E-3</v>
      </c>
      <c r="I2" s="7">
        <f>$B2 * IFERROR(VLOOKUP("industry|PM25|Premature mortality", US_national_yearly!$D:$AM, 17, FALSE) / VLOOKUP("industry|PM25|Premature mortality", US_national_yearly!$D:$AM, 10, FALSE), 1)</f>
        <v>8.6489416464978625E-3</v>
      </c>
      <c r="J2" s="7">
        <f>$B2 * IFERROR(VLOOKUP("industry|PM25|Premature mortality", US_national_yearly!$D:$AM, 18, FALSE) / VLOOKUP("industry|PM25|Premature mortality", US_national_yearly!$D:$AM, 10, FALSE), 1)</f>
        <v>8.7731138486380287E-3</v>
      </c>
      <c r="K2" s="7">
        <f>$B2 * IFERROR(VLOOKUP("industry|PM25|Premature mortality", US_national_yearly!$D:$AM, 19, FALSE) / VLOOKUP("industry|PM25|Premature mortality", US_national_yearly!$D:$AM, 10, FALSE), 1)</f>
        <v>8.8972860507781967E-3</v>
      </c>
      <c r="L2" s="7">
        <f>$B2 * IFERROR(VLOOKUP("industry|PM25|Premature mortality", US_national_yearly!$D:$AM, 20, FALSE) / VLOOKUP("industry|PM25|Premature mortality", US_national_yearly!$D:$AM, 10, FALSE), 1)</f>
        <v>9.0214582529183646E-3</v>
      </c>
      <c r="M2" s="7">
        <f>$B2 * IFERROR(VLOOKUP("industry|PM25|Premature mortality", US_national_yearly!$D:$AM, 21, FALSE) / VLOOKUP("industry|PM25|Premature mortality", US_national_yearly!$D:$AM, 10, FALSE), 1)</f>
        <v>9.1456304550585343E-3</v>
      </c>
      <c r="N2" s="7">
        <f>$B2 * IFERROR(VLOOKUP("industry|PM25|Premature mortality", US_national_yearly!$D:$AM, 22, FALSE) / VLOOKUP("industry|PM25|Premature mortality", US_national_yearly!$D:$AM, 10, FALSE), 1)</f>
        <v>9.242371216859788E-3</v>
      </c>
      <c r="O2" s="7">
        <f>$B2 * IFERROR(VLOOKUP("industry|PM25|Premature mortality", US_national_yearly!$D:$AM, 23, FALSE) / VLOOKUP("industry|PM25|Premature mortality", US_national_yearly!$D:$AM, 10, FALSE), 1)</f>
        <v>9.3391119786610417E-3</v>
      </c>
      <c r="P2" s="7">
        <f>$B2 * IFERROR(VLOOKUP("industry|PM25|Premature mortality", US_national_yearly!$D:$AM, 24, FALSE) / VLOOKUP("industry|PM25|Premature mortality", US_national_yearly!$D:$AM, 10, FALSE), 1)</f>
        <v>9.4358527404622954E-3</v>
      </c>
      <c r="Q2" s="7">
        <f>$B2 * IFERROR(VLOOKUP("industry|PM25|Premature mortality", US_national_yearly!$D:$AM, 25, FALSE) / VLOOKUP("industry|PM25|Premature mortality", US_national_yearly!$D:$AM, 10, FALSE), 1)</f>
        <v>9.5325935022635509E-3</v>
      </c>
      <c r="R2" s="7">
        <f>$B2 * IFERROR(VLOOKUP("industry|PM25|Premature mortality", US_national_yearly!$D:$AM, 26, FALSE) / VLOOKUP("industry|PM25|Premature mortality", US_national_yearly!$D:$AM, 10, FALSE), 1)</f>
        <v>9.6293342640648028E-3</v>
      </c>
      <c r="S2" s="7">
        <f>$B2 * IFERROR(VLOOKUP("industry|PM25|Premature mortality", US_national_yearly!$D:$AM, 27, FALSE) / VLOOKUP("industry|PM25|Premature mortality", US_national_yearly!$D:$AM, 10, FALSE), 1)</f>
        <v>9.6815706873493845E-3</v>
      </c>
      <c r="T2" s="7">
        <f>$B2 * IFERROR(VLOOKUP("industry|PM25|Premature mortality", US_national_yearly!$D:$AM, 28, FALSE) / VLOOKUP("industry|PM25|Premature mortality", US_national_yearly!$D:$AM, 10, FALSE), 1)</f>
        <v>9.7338071106339678E-3</v>
      </c>
      <c r="U2" s="7">
        <f>$B2 * IFERROR(VLOOKUP("industry|PM25|Premature mortality", US_national_yearly!$D:$AM, 29, FALSE) / VLOOKUP("industry|PM25|Premature mortality", US_national_yearly!$D:$AM, 10, FALSE), 1)</f>
        <v>9.7860435339185529E-3</v>
      </c>
      <c r="V2" s="7">
        <f>$B2 * IFERROR(VLOOKUP("industry|PM25|Premature mortality", US_national_yearly!$D:$AM, 30, FALSE) / VLOOKUP("industry|PM25|Premature mortality", US_national_yearly!$D:$AM, 10, FALSE), 1)</f>
        <v>9.8382799572031346E-3</v>
      </c>
      <c r="W2" s="7">
        <f>$B2 * IFERROR(VLOOKUP("industry|PM25|Premature mortality", US_national_yearly!$D:$AM, 31, FALSE) / VLOOKUP("industry|PM25|Premature mortality", US_national_yearly!$D:$AM, 10, FALSE), 1)</f>
        <v>9.8905163804877162E-3</v>
      </c>
      <c r="X2" s="7">
        <f>$B2 * IFERROR(VLOOKUP("industry|PM25|Premature mortality", US_national_yearly!$D:$AM, 32, FALSE) / VLOOKUP("industry|PM25|Premature mortality", US_national_yearly!$D:$AM, 10, FALSE), 1)</f>
        <v>9.9013013709757687E-3</v>
      </c>
      <c r="Y2" s="7">
        <f>$B2 * IFERROR(VLOOKUP("industry|PM25|Premature mortality", US_national_yearly!$D:$AM, 33, FALSE) / VLOOKUP("industry|PM25|Premature mortality", US_national_yearly!$D:$AM, 10, FALSE), 1)</f>
        <v>9.9120863614638281E-3</v>
      </c>
      <c r="Z2" s="7">
        <f>$B2 * IFERROR(VLOOKUP("industry|PM25|Premature mortality", US_national_yearly!$D:$AM, 34, FALSE) / VLOOKUP("industry|PM25|Premature mortality", US_national_yearly!$D:$AM, 10, FALSE), 1)</f>
        <v>9.9228713519518806E-3</v>
      </c>
      <c r="AA2" s="7">
        <f>$B2 * IFERROR(VLOOKUP("industry|PM25|Premature mortality", US_national_yearly!$D:$AM, 35, FALSE) / VLOOKUP("industry|PM25|Premature mortality", US_national_yearly!$D:$AM, 10, FALSE), 1)</f>
        <v>9.9336563424399366E-3</v>
      </c>
      <c r="AB2" s="7">
        <f>$B2 * IFERROR(VLOOKUP("industry|PM25|Premature mortality", US_national_yearly!$D:$AM, 36, FALSE) / VLOOKUP("industry|PM25|Premature mortality", US_national_yearly!$D:$AM, 10, FALSE), 1)</f>
        <v>9.9444413329279908E-3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1.7104099286438745E-5</v>
      </c>
      <c r="C3" s="7">
        <f>$B3 * IFERROR(VLOOKUP("industry|PM25|Infant mortality", US_national_yearly!$D:$AM, 11, FALSE) / VLOOKUP("industry|PM25|Infant mortality", US_national_yearly!$D:$AM, 10, FALSE), 1)</f>
        <v>1.6955176479251558E-5</v>
      </c>
      <c r="D3" s="7">
        <f>$B3 * IFERROR(VLOOKUP("industry|PM25|Infant mortality", US_national_yearly!$D:$AM, 12, FALSE) / VLOOKUP("industry|PM25|Infant mortality", US_national_yearly!$D:$AM, 10, FALSE), 1)</f>
        <v>1.6806253672064367E-5</v>
      </c>
      <c r="E3" s="7">
        <f>$B3 * IFERROR(VLOOKUP("industry|PM25|Infant mortality", US_national_yearly!$D:$AM, 13, FALSE) / VLOOKUP("industry|PM25|Infant mortality", US_national_yearly!$D:$AM, 10, FALSE), 1)</f>
        <v>1.6657330864877173E-5</v>
      </c>
      <c r="F3" s="7">
        <f>$B3 * IFERROR(VLOOKUP("industry|PM25|Infant mortality", US_national_yearly!$D:$AM, 14, FALSE) / VLOOKUP("industry|PM25|Infant mortality", US_national_yearly!$D:$AM, 10, FALSE), 1)</f>
        <v>1.6508408057689986E-5</v>
      </c>
      <c r="G3" s="7">
        <f>$B3 * IFERROR(VLOOKUP("industry|PM25|Infant mortality", US_national_yearly!$D:$AM, 15, FALSE) / VLOOKUP("industry|PM25|Infant mortality", US_national_yearly!$D:$AM, 10, FALSE), 1)</f>
        <v>1.0968764157035096E-5</v>
      </c>
      <c r="H3" s="7">
        <f>$B3 * IFERROR(VLOOKUP("industry|PM25|Infant mortality", US_national_yearly!$D:$AM, 16, FALSE) / VLOOKUP("industry|PM25|Infant mortality", US_national_yearly!$D:$AM, 10, FALSE), 1)</f>
        <v>5.4291202563802069E-6</v>
      </c>
      <c r="I3" s="7">
        <f>$B3 * IFERROR(VLOOKUP("industry|PM25|Infant mortality", US_national_yearly!$D:$AM, 17, FALSE) / VLOOKUP("industry|PM25|Infant mortality", US_national_yearly!$D:$AM, 10, FALSE), 1)</f>
        <v>5.3929841062600633E-6</v>
      </c>
      <c r="J3" s="7">
        <f>$B3 * IFERROR(VLOOKUP("industry|PM25|Infant mortality", US_national_yearly!$D:$AM, 18, FALSE) / VLOOKUP("industry|PM25|Infant mortality", US_national_yearly!$D:$AM, 10, FALSE), 1)</f>
        <v>5.3568479561399197E-6</v>
      </c>
      <c r="K3" s="7">
        <f>$B3 * IFERROR(VLOOKUP("industry|PM25|Infant mortality", US_national_yearly!$D:$AM, 19, FALSE) / VLOOKUP("industry|PM25|Infant mortality", US_national_yearly!$D:$AM, 10, FALSE), 1)</f>
        <v>5.3207118060197761E-6</v>
      </c>
      <c r="L3" s="7">
        <f>$B3 * IFERROR(VLOOKUP("industry|PM25|Infant mortality", US_national_yearly!$D:$AM, 20, FALSE) / VLOOKUP("industry|PM25|Infant mortality", US_national_yearly!$D:$AM, 10, FALSE), 1)</f>
        <v>5.2845756558996317E-6</v>
      </c>
      <c r="M3" s="7">
        <f>$B3 * IFERROR(VLOOKUP("industry|PM25|Infant mortality", US_national_yearly!$D:$AM, 21, FALSE) / VLOOKUP("industry|PM25|Infant mortality", US_national_yearly!$D:$AM, 10, FALSE), 1)</f>
        <v>5.2484395057794898E-6</v>
      </c>
      <c r="N3" s="7">
        <f>$B3 * IFERROR(VLOOKUP("industry|PM25|Infant mortality", US_national_yearly!$D:$AM, 22, FALSE) / VLOOKUP("industry|PM25|Infant mortality", US_national_yearly!$D:$AM, 10, FALSE), 1)</f>
        <v>5.2253811230958098E-6</v>
      </c>
      <c r="O3" s="7">
        <f>$B3 * IFERROR(VLOOKUP("industry|PM25|Infant mortality", US_national_yearly!$D:$AM, 23, FALSE) / VLOOKUP("industry|PM25|Infant mortality", US_national_yearly!$D:$AM, 10, FALSE), 1)</f>
        <v>5.2023227404121307E-6</v>
      </c>
      <c r="P3" s="7">
        <f>$B3 * IFERROR(VLOOKUP("industry|PM25|Infant mortality", US_national_yearly!$D:$AM, 24, FALSE) / VLOOKUP("industry|PM25|Infant mortality", US_national_yearly!$D:$AM, 10, FALSE), 1)</f>
        <v>5.1792643577284525E-6</v>
      </c>
      <c r="Q3" s="7">
        <f>$B3 * IFERROR(VLOOKUP("industry|PM25|Infant mortality", US_national_yearly!$D:$AM, 25, FALSE) / VLOOKUP("industry|PM25|Infant mortality", US_national_yearly!$D:$AM, 10, FALSE), 1)</f>
        <v>5.1562059750447734E-6</v>
      </c>
      <c r="R3" s="7">
        <f>$B3 * IFERROR(VLOOKUP("industry|PM25|Infant mortality", US_national_yearly!$D:$AM, 26, FALSE) / VLOOKUP("industry|PM25|Infant mortality", US_national_yearly!$D:$AM, 10, FALSE), 1)</f>
        <v>5.1331475923610943E-6</v>
      </c>
      <c r="S3" s="7">
        <f>$B3 * IFERROR(VLOOKUP("industry|PM25|Infant mortality", US_national_yearly!$D:$AM, 27, FALSE) / VLOOKUP("industry|PM25|Infant mortality", US_national_yearly!$D:$AM, 10, FALSE), 1)</f>
        <v>5.104787863610064E-6</v>
      </c>
      <c r="T3" s="7">
        <f>$B3 * IFERROR(VLOOKUP("industry|PM25|Infant mortality", US_national_yearly!$D:$AM, 28, FALSE) / VLOOKUP("industry|PM25|Infant mortality", US_national_yearly!$D:$AM, 10, FALSE), 1)</f>
        <v>5.0764281348590346E-6</v>
      </c>
      <c r="U3" s="7">
        <f>$B3 * IFERROR(VLOOKUP("industry|PM25|Infant mortality", US_national_yearly!$D:$AM, 29, FALSE) / VLOOKUP("industry|PM25|Infant mortality", US_national_yearly!$D:$AM, 10, FALSE), 1)</f>
        <v>5.0480684061080043E-6</v>
      </c>
      <c r="V3" s="7">
        <f>$B3 * IFERROR(VLOOKUP("industry|PM25|Infant mortality", US_national_yearly!$D:$AM, 30, FALSE) / VLOOKUP("industry|PM25|Infant mortality", US_national_yearly!$D:$AM, 10, FALSE), 1)</f>
        <v>5.0197086773569748E-6</v>
      </c>
      <c r="W3" s="7">
        <f>$B3 * IFERROR(VLOOKUP("industry|PM25|Infant mortality", US_national_yearly!$D:$AM, 31, FALSE) / VLOOKUP("industry|PM25|Infant mortality", US_national_yearly!$D:$AM, 10, FALSE), 1)</f>
        <v>4.9913489486059463E-6</v>
      </c>
      <c r="X3" s="7">
        <f>$B3 * IFERROR(VLOOKUP("industry|PM25|Infant mortality", US_national_yearly!$D:$AM, 32, FALSE) / VLOOKUP("industry|PM25|Infant mortality", US_national_yearly!$D:$AM, 10, FALSE), 1)</f>
        <v>4.9610430248630146E-6</v>
      </c>
      <c r="Y3" s="7">
        <f>$B3 * IFERROR(VLOOKUP("industry|PM25|Infant mortality", US_national_yearly!$D:$AM, 33, FALSE) / VLOOKUP("industry|PM25|Infant mortality", US_national_yearly!$D:$AM, 10, FALSE), 1)</f>
        <v>4.9307371011200837E-6</v>
      </c>
      <c r="Z3" s="7">
        <f>$B3 * IFERROR(VLOOKUP("industry|PM25|Infant mortality", US_national_yearly!$D:$AM, 34, FALSE) / VLOOKUP("industry|PM25|Infant mortality", US_national_yearly!$D:$AM, 10, FALSE), 1)</f>
        <v>4.9004311773771529E-6</v>
      </c>
      <c r="AA3" s="7">
        <f>$B3 * IFERROR(VLOOKUP("industry|PM25|Infant mortality", US_national_yearly!$D:$AM, 35, FALSE) / VLOOKUP("industry|PM25|Infant mortality", US_national_yearly!$D:$AM, 10, FALSE), 1)</f>
        <v>4.8701252536342212E-6</v>
      </c>
      <c r="AB3" s="7">
        <f>$B3 * IFERROR(VLOOKUP("industry|PM25|Infant mortality", US_national_yearly!$D:$AM, 36, FALSE) / VLOOKUP("industry|PM25|Infant mortality", US_national_yearly!$D:$AM, 10, FALSE), 1)</f>
        <v>4.8398193298912904E-6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2.0784800843244914E-2</v>
      </c>
      <c r="C6" s="7">
        <f>$B6 * IFERROR(VLOOKUP("industry|PM25|Asthma symptoms cough", US_national_yearly!$D:$AM, 11, FALSE) / VLOOKUP("industry|PM25|Asthma symptoms cough", US_national_yearly!$D:$AM, 10, FALSE), 1)</f>
        <v>2.0784800843244914E-2</v>
      </c>
      <c r="D6" s="7">
        <f>$B6 * IFERROR(VLOOKUP("industry|PM25|Asthma symptoms cough", US_national_yearly!$D:$AM, 12, FALSE) / VLOOKUP("industry|PM25|Asthma symptoms cough", US_national_yearly!$D:$AM, 10, FALSE), 1)</f>
        <v>2.0784800843244914E-2</v>
      </c>
      <c r="E6" s="7">
        <f>$B6 * IFERROR(VLOOKUP("industry|PM25|Asthma symptoms cough", US_national_yearly!$D:$AM, 13, FALSE) / VLOOKUP("industry|PM25|Asthma symptoms cough", US_national_yearly!$D:$AM, 10, FALSE), 1)</f>
        <v>2.0784800843244914E-2</v>
      </c>
      <c r="F6" s="7">
        <f>$B6 * IFERROR(VLOOKUP("industry|PM25|Asthma symptoms cough", US_national_yearly!$D:$AM, 14, FALSE) / VLOOKUP("industry|PM25|Asthma symptoms cough", US_national_yearly!$D:$AM, 10, FALSE), 1)</f>
        <v>2.0784800843244914E-2</v>
      </c>
      <c r="G6" s="7">
        <f>$B6 * IFERROR(VLOOKUP("industry|PM25|Asthma symptoms cough", US_national_yearly!$D:$AM, 15, FALSE) / VLOOKUP("industry|PM25|Asthma symptoms cough", US_national_yearly!$D:$AM, 10, FALSE), 1)</f>
        <v>2.0784800843244914E-2</v>
      </c>
      <c r="H6" s="7">
        <f>$B6 * IFERROR(VLOOKUP("industry|PM25|Asthma symptoms cough", US_national_yearly!$D:$AM, 16, FALSE) / VLOOKUP("industry|PM25|Asthma symptoms cough", US_national_yearly!$D:$AM, 10, FALSE), 1)</f>
        <v>2.0784800843244914E-2</v>
      </c>
      <c r="I6" s="7">
        <f>$B6 * IFERROR(VLOOKUP("industry|PM25|Asthma symptoms cough", US_national_yearly!$D:$AM, 17, FALSE) / VLOOKUP("industry|PM25|Asthma symptoms cough", US_national_yearly!$D:$AM, 10, FALSE), 1)</f>
        <v>2.0784800843244914E-2</v>
      </c>
      <c r="J6" s="7">
        <f>$B6 * IFERROR(VLOOKUP("industry|PM25|Asthma symptoms cough", US_national_yearly!$D:$AM, 18, FALSE) / VLOOKUP("industry|PM25|Asthma symptoms cough", US_national_yearly!$D:$AM, 10, FALSE), 1)</f>
        <v>2.0784800843244914E-2</v>
      </c>
      <c r="K6" s="7">
        <f>$B6 * IFERROR(VLOOKUP("industry|PM25|Asthma symptoms cough", US_national_yearly!$D:$AM, 19, FALSE) / VLOOKUP("industry|PM25|Asthma symptoms cough", US_national_yearly!$D:$AM, 10, FALSE), 1)</f>
        <v>2.0784800843244914E-2</v>
      </c>
      <c r="L6" s="7">
        <f>$B6 * IFERROR(VLOOKUP("industry|PM25|Asthma symptoms cough", US_national_yearly!$D:$AM, 20, FALSE) / VLOOKUP("industry|PM25|Asthma symptoms cough", US_national_yearly!$D:$AM, 10, FALSE), 1)</f>
        <v>2.0784800843244914E-2</v>
      </c>
      <c r="M6" s="7">
        <f>$B6 * IFERROR(VLOOKUP("industry|PM25|Asthma symptoms cough", US_national_yearly!$D:$AM, 21, FALSE) / VLOOKUP("industry|PM25|Asthma symptoms cough", US_national_yearly!$D:$AM, 10, FALSE), 1)</f>
        <v>2.0784800843244914E-2</v>
      </c>
      <c r="N6" s="7">
        <f>$B6 * IFERROR(VLOOKUP("industry|PM25|Asthma symptoms cough", US_national_yearly!$D:$AM, 22, FALSE) / VLOOKUP("industry|PM25|Asthma symptoms cough", US_national_yearly!$D:$AM, 10, FALSE), 1)</f>
        <v>2.0784800843244914E-2</v>
      </c>
      <c r="O6" s="7">
        <f>$B6 * IFERROR(VLOOKUP("industry|PM25|Asthma symptoms cough", US_national_yearly!$D:$AM, 23, FALSE) / VLOOKUP("industry|PM25|Asthma symptoms cough", US_national_yearly!$D:$AM, 10, FALSE), 1)</f>
        <v>2.0784800843244914E-2</v>
      </c>
      <c r="P6" s="7">
        <f>$B6 * IFERROR(VLOOKUP("industry|PM25|Asthma symptoms cough", US_national_yearly!$D:$AM, 24, FALSE) / VLOOKUP("industry|PM25|Asthma symptoms cough", US_national_yearly!$D:$AM, 10, FALSE), 1)</f>
        <v>2.0784800843244914E-2</v>
      </c>
      <c r="Q6" s="7">
        <f>$B6 * IFERROR(VLOOKUP("industry|PM25|Asthma symptoms cough", US_national_yearly!$D:$AM, 25, FALSE) / VLOOKUP("industry|PM25|Asthma symptoms cough", US_national_yearly!$D:$AM, 10, FALSE), 1)</f>
        <v>2.0784800843244914E-2</v>
      </c>
      <c r="R6" s="7">
        <f>$B6 * IFERROR(VLOOKUP("industry|PM25|Asthma symptoms cough", US_national_yearly!$D:$AM, 26, FALSE) / VLOOKUP("industry|PM25|Asthma symptoms cough", US_national_yearly!$D:$AM, 10, FALSE), 1)</f>
        <v>2.0784800843244914E-2</v>
      </c>
      <c r="S6" s="7">
        <f>$B6 * IFERROR(VLOOKUP("industry|PM25|Asthma symptoms cough", US_national_yearly!$D:$AM, 27, FALSE) / VLOOKUP("industry|PM25|Asthma symptoms cough", US_national_yearly!$D:$AM, 10, FALSE), 1)</f>
        <v>2.0784800843244914E-2</v>
      </c>
      <c r="T6" s="7">
        <f>$B6 * IFERROR(VLOOKUP("industry|PM25|Asthma symptoms cough", US_national_yearly!$D:$AM, 28, FALSE) / VLOOKUP("industry|PM25|Asthma symptoms cough", US_national_yearly!$D:$AM, 10, FALSE), 1)</f>
        <v>2.0784800843244914E-2</v>
      </c>
      <c r="U6" s="7">
        <f>$B6 * IFERROR(VLOOKUP("industry|PM25|Asthma symptoms cough", US_national_yearly!$D:$AM, 29, FALSE) / VLOOKUP("industry|PM25|Asthma symptoms cough", US_national_yearly!$D:$AM, 10, FALSE), 1)</f>
        <v>2.0784800843244914E-2</v>
      </c>
      <c r="V6" s="7">
        <f>$B6 * IFERROR(VLOOKUP("industry|PM25|Asthma symptoms cough", US_national_yearly!$D:$AM, 30, FALSE) / VLOOKUP("industry|PM25|Asthma symptoms cough", US_national_yearly!$D:$AM, 10, FALSE), 1)</f>
        <v>2.0784800843244914E-2</v>
      </c>
      <c r="W6" s="7">
        <f>$B6 * IFERROR(VLOOKUP("industry|PM25|Asthma symptoms cough", US_national_yearly!$D:$AM, 31, FALSE) / VLOOKUP("industry|PM25|Asthma symptoms cough", US_national_yearly!$D:$AM, 10, FALSE), 1)</f>
        <v>2.0784800843244914E-2</v>
      </c>
      <c r="X6" s="7">
        <f>$B6 * IFERROR(VLOOKUP("industry|PM25|Asthma symptoms cough", US_national_yearly!$D:$AM, 32, FALSE) / VLOOKUP("industry|PM25|Asthma symptoms cough", US_national_yearly!$D:$AM, 10, FALSE), 1)</f>
        <v>2.0784800843244914E-2</v>
      </c>
      <c r="Y6" s="7">
        <f>$B6 * IFERROR(VLOOKUP("industry|PM25|Asthma symptoms cough", US_national_yearly!$D:$AM, 33, FALSE) / VLOOKUP("industry|PM25|Asthma symptoms cough", US_national_yearly!$D:$AM, 10, FALSE), 1)</f>
        <v>2.0784800843244914E-2</v>
      </c>
      <c r="Z6" s="7">
        <f>$B6 * IFERROR(VLOOKUP("industry|PM25|Asthma symptoms cough", US_national_yearly!$D:$AM, 34, FALSE) / VLOOKUP("industry|PM25|Asthma symptoms cough", US_national_yearly!$D:$AM, 10, FALSE), 1)</f>
        <v>2.0784800843244914E-2</v>
      </c>
      <c r="AA6" s="7">
        <f>$B6 * IFERROR(VLOOKUP("industry|PM25|Asthma symptoms cough", US_national_yearly!$D:$AM, 35, FALSE) / VLOOKUP("industry|PM25|Asthma symptoms cough", US_national_yearly!$D:$AM, 10, FALSE), 1)</f>
        <v>2.0784800843244914E-2</v>
      </c>
      <c r="AB6" s="7">
        <f>$B6 * IFERROR(VLOOKUP("industry|PM25|Asthma symptoms cough", US_national_yearly!$D:$AM, 36, FALSE) / VLOOKUP("industry|PM25|Asthma symptoms cough", US_national_yearly!$D:$AM, 10, FALSE), 1)</f>
        <v>2.0784800843244914E-2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2.7988945759323335E-2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2.7988945759323335E-2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2.7988945759323335E-2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2.7988945759323335E-2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2.7988945759323335E-2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2.7988945759323335E-2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2.7988945759323335E-2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2.7988945759323335E-2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2.7988945759323335E-2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2.7988945759323335E-2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2.7988945759323335E-2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2.7988945759323335E-2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2.7988945759323335E-2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2.7988945759323335E-2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2.7988945759323335E-2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2.7988945759323335E-2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2.7988945759323335E-2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2.7988945759323335E-2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2.7988945759323335E-2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2.7988945759323335E-2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2.7988945759323335E-2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2.7988945759323335E-2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2.7988945759323335E-2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2.7988945759323335E-2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2.7988945759323335E-2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2.7988945759323335E-2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2.7988945759323335E-2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4.276523434590454E-2</v>
      </c>
      <c r="C8" s="7">
        <f>$B8 * IFERROR(VLOOKUP("industry|PM25|Asthma symptoms wheeze", US_national_yearly!$D:$AM, 11, FALSE) / VLOOKUP("industry|PM25|Asthma symptoms wheeze", US_national_yearly!$D:$AM, 10, FALSE), 1)</f>
        <v>4.276523434590454E-2</v>
      </c>
      <c r="D8" s="7">
        <f>$B8 * IFERROR(VLOOKUP("industry|PM25|Asthma symptoms wheeze", US_national_yearly!$D:$AM, 12, FALSE) / VLOOKUP("industry|PM25|Asthma symptoms wheeze", US_national_yearly!$D:$AM, 10, FALSE), 1)</f>
        <v>4.276523434590454E-2</v>
      </c>
      <c r="E8" s="7">
        <f>$B8 * IFERROR(VLOOKUP("industry|PM25|Asthma symptoms wheeze", US_national_yearly!$D:$AM, 13, FALSE) / VLOOKUP("industry|PM25|Asthma symptoms wheeze", US_national_yearly!$D:$AM, 10, FALSE), 1)</f>
        <v>4.276523434590454E-2</v>
      </c>
      <c r="F8" s="7">
        <f>$B8 * IFERROR(VLOOKUP("industry|PM25|Asthma symptoms wheeze", US_national_yearly!$D:$AM, 14, FALSE) / VLOOKUP("industry|PM25|Asthma symptoms wheeze", US_national_yearly!$D:$AM, 10, FALSE), 1)</f>
        <v>4.276523434590454E-2</v>
      </c>
      <c r="G8" s="7">
        <f>$B8 * IFERROR(VLOOKUP("industry|PM25|Asthma symptoms wheeze", US_national_yearly!$D:$AM, 15, FALSE) / VLOOKUP("industry|PM25|Asthma symptoms wheeze", US_national_yearly!$D:$AM, 10, FALSE), 1)</f>
        <v>4.276523434590454E-2</v>
      </c>
      <c r="H8" s="7">
        <f>$B8 * IFERROR(VLOOKUP("industry|PM25|Asthma symptoms wheeze", US_national_yearly!$D:$AM, 16, FALSE) / VLOOKUP("industry|PM25|Asthma symptoms wheeze", US_national_yearly!$D:$AM, 10, FALSE), 1)</f>
        <v>4.276523434590454E-2</v>
      </c>
      <c r="I8" s="7">
        <f>$B8 * IFERROR(VLOOKUP("industry|PM25|Asthma symptoms wheeze", US_national_yearly!$D:$AM, 17, FALSE) / VLOOKUP("industry|PM25|Asthma symptoms wheeze", US_national_yearly!$D:$AM, 10, FALSE), 1)</f>
        <v>4.276523434590454E-2</v>
      </c>
      <c r="J8" s="7">
        <f>$B8 * IFERROR(VLOOKUP("industry|PM25|Asthma symptoms wheeze", US_national_yearly!$D:$AM, 18, FALSE) / VLOOKUP("industry|PM25|Asthma symptoms wheeze", US_national_yearly!$D:$AM, 10, FALSE), 1)</f>
        <v>4.276523434590454E-2</v>
      </c>
      <c r="K8" s="7">
        <f>$B8 * IFERROR(VLOOKUP("industry|PM25|Asthma symptoms wheeze", US_national_yearly!$D:$AM, 19, FALSE) / VLOOKUP("industry|PM25|Asthma symptoms wheeze", US_national_yearly!$D:$AM, 10, FALSE), 1)</f>
        <v>4.276523434590454E-2</v>
      </c>
      <c r="L8" s="7">
        <f>$B8 * IFERROR(VLOOKUP("industry|PM25|Asthma symptoms wheeze", US_national_yearly!$D:$AM, 20, FALSE) / VLOOKUP("industry|PM25|Asthma symptoms wheeze", US_national_yearly!$D:$AM, 10, FALSE), 1)</f>
        <v>4.276523434590454E-2</v>
      </c>
      <c r="M8" s="7">
        <f>$B8 * IFERROR(VLOOKUP("industry|PM25|Asthma symptoms wheeze", US_national_yearly!$D:$AM, 21, FALSE) / VLOOKUP("industry|PM25|Asthma symptoms wheeze", US_national_yearly!$D:$AM, 10, FALSE), 1)</f>
        <v>4.276523434590454E-2</v>
      </c>
      <c r="N8" s="7">
        <f>$B8 * IFERROR(VLOOKUP("industry|PM25|Asthma symptoms wheeze", US_national_yearly!$D:$AM, 22, FALSE) / VLOOKUP("industry|PM25|Asthma symptoms wheeze", US_national_yearly!$D:$AM, 10, FALSE), 1)</f>
        <v>4.276523434590454E-2</v>
      </c>
      <c r="O8" s="7">
        <f>$B8 * IFERROR(VLOOKUP("industry|PM25|Asthma symptoms wheeze", US_national_yearly!$D:$AM, 23, FALSE) / VLOOKUP("industry|PM25|Asthma symptoms wheeze", US_national_yearly!$D:$AM, 10, FALSE), 1)</f>
        <v>4.276523434590454E-2</v>
      </c>
      <c r="P8" s="7">
        <f>$B8 * IFERROR(VLOOKUP("industry|PM25|Asthma symptoms wheeze", US_national_yearly!$D:$AM, 24, FALSE) / VLOOKUP("industry|PM25|Asthma symptoms wheeze", US_national_yearly!$D:$AM, 10, FALSE), 1)</f>
        <v>4.276523434590454E-2</v>
      </c>
      <c r="Q8" s="7">
        <f>$B8 * IFERROR(VLOOKUP("industry|PM25|Asthma symptoms wheeze", US_national_yearly!$D:$AM, 25, FALSE) / VLOOKUP("industry|PM25|Asthma symptoms wheeze", US_national_yearly!$D:$AM, 10, FALSE), 1)</f>
        <v>4.276523434590454E-2</v>
      </c>
      <c r="R8" s="7">
        <f>$B8 * IFERROR(VLOOKUP("industry|PM25|Asthma symptoms wheeze", US_national_yearly!$D:$AM, 26, FALSE) / VLOOKUP("industry|PM25|Asthma symptoms wheeze", US_national_yearly!$D:$AM, 10, FALSE), 1)</f>
        <v>4.276523434590454E-2</v>
      </c>
      <c r="S8" s="7">
        <f>$B8 * IFERROR(VLOOKUP("industry|PM25|Asthma symptoms wheeze", US_national_yearly!$D:$AM, 27, FALSE) / VLOOKUP("industry|PM25|Asthma symptoms wheeze", US_national_yearly!$D:$AM, 10, FALSE), 1)</f>
        <v>4.276523434590454E-2</v>
      </c>
      <c r="T8" s="7">
        <f>$B8 * IFERROR(VLOOKUP("industry|PM25|Asthma symptoms wheeze", US_national_yearly!$D:$AM, 28, FALSE) / VLOOKUP("industry|PM25|Asthma symptoms wheeze", US_national_yearly!$D:$AM, 10, FALSE), 1)</f>
        <v>4.276523434590454E-2</v>
      </c>
      <c r="U8" s="7">
        <f>$B8 * IFERROR(VLOOKUP("industry|PM25|Asthma symptoms wheeze", US_national_yearly!$D:$AM, 29, FALSE) / VLOOKUP("industry|PM25|Asthma symptoms wheeze", US_national_yearly!$D:$AM, 10, FALSE), 1)</f>
        <v>4.276523434590454E-2</v>
      </c>
      <c r="V8" s="7">
        <f>$B8 * IFERROR(VLOOKUP("industry|PM25|Asthma symptoms wheeze", US_national_yearly!$D:$AM, 30, FALSE) / VLOOKUP("industry|PM25|Asthma symptoms wheeze", US_national_yearly!$D:$AM, 10, FALSE), 1)</f>
        <v>4.276523434590454E-2</v>
      </c>
      <c r="W8" s="7">
        <f>$B8 * IFERROR(VLOOKUP("industry|PM25|Asthma symptoms wheeze", US_national_yearly!$D:$AM, 31, FALSE) / VLOOKUP("industry|PM25|Asthma symptoms wheeze", US_national_yearly!$D:$AM, 10, FALSE), 1)</f>
        <v>4.276523434590454E-2</v>
      </c>
      <c r="X8" s="7">
        <f>$B8 * IFERROR(VLOOKUP("industry|PM25|Asthma symptoms wheeze", US_national_yearly!$D:$AM, 32, FALSE) / VLOOKUP("industry|PM25|Asthma symptoms wheeze", US_national_yearly!$D:$AM, 10, FALSE), 1)</f>
        <v>4.276523434590454E-2</v>
      </c>
      <c r="Y8" s="7">
        <f>$B8 * IFERROR(VLOOKUP("industry|PM25|Asthma symptoms wheeze", US_national_yearly!$D:$AM, 33, FALSE) / VLOOKUP("industry|PM25|Asthma symptoms wheeze", US_national_yearly!$D:$AM, 10, FALSE), 1)</f>
        <v>4.276523434590454E-2</v>
      </c>
      <c r="Z8" s="7">
        <f>$B8 * IFERROR(VLOOKUP("industry|PM25|Asthma symptoms wheeze", US_national_yearly!$D:$AM, 34, FALSE) / VLOOKUP("industry|PM25|Asthma symptoms wheeze", US_national_yearly!$D:$AM, 10, FALSE), 1)</f>
        <v>4.276523434590454E-2</v>
      </c>
      <c r="AA8" s="7">
        <f>$B8 * IFERROR(VLOOKUP("industry|PM25|Asthma symptoms wheeze", US_national_yearly!$D:$AM, 35, FALSE) / VLOOKUP("industry|PM25|Asthma symptoms wheeze", US_national_yearly!$D:$AM, 10, FALSE), 1)</f>
        <v>4.276523434590454E-2</v>
      </c>
      <c r="AB8" s="7">
        <f>$B8 * IFERROR(VLOOKUP("industry|PM25|Asthma symptoms wheeze", US_national_yearly!$D:$AM, 36, FALSE) / VLOOKUP("industry|PM25|Asthma symptoms wheeze", US_national_yearly!$D:$AM, 10, FALSE), 1)</f>
        <v>4.276523434590454E-2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7.1863049293425325E-4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7.227105633048831E-4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7.2679063367551283E-4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7.3087070404614268E-4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7.3495077441677263E-4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7.3936210007749471E-4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7.4377342573821701E-4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7.4795812310063316E-4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7.521428204630493E-4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7.5632751782546534E-4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7.6051221518788148E-4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7.6469691255029763E-4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7.6765663177140019E-4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7.7061635099250254E-4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7.7357607021360511E-4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7.7653578943470756E-4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7.7949550865581013E-4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7.8228704715204084E-4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7.8507858564827145E-4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7.8787012414450238E-4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7.9066166264073299E-4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7.9345320113696392E-4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7.9614104685753857E-4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7.9882889257811333E-4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8.0151673829868819E-4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8.0420458401926306E-4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8.0689242973983782E-4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3.3199779837847472E-3</v>
      </c>
      <c r="C13" s="7">
        <f>$B13 * IFERROR(VLOOKUP("industry|PM25|Non-fatal heart attacks", US_national_yearly!$D:$AM, 11, FALSE) / VLOOKUP("industry|PM25|Non-fatal heart attacks", US_national_yearly!$D:$AM, 10, FALSE), 1)</f>
        <v>3.4166234134105772E-3</v>
      </c>
      <c r="D13" s="7">
        <f>$B13 * IFERROR(VLOOKUP("industry|PM25|Non-fatal heart attacks", US_national_yearly!$D:$AM, 12, FALSE) / VLOOKUP("industry|PM25|Non-fatal heart attacks", US_national_yearly!$D:$AM, 10, FALSE), 1)</f>
        <v>3.5132688430364067E-3</v>
      </c>
      <c r="E13" s="7">
        <f>$B13 * IFERROR(VLOOKUP("industry|PM25|Non-fatal heart attacks", US_national_yearly!$D:$AM, 13, FALSE) / VLOOKUP("industry|PM25|Non-fatal heart attacks", US_national_yearly!$D:$AM, 10, FALSE), 1)</f>
        <v>3.6099142726622366E-3</v>
      </c>
      <c r="F13" s="7">
        <f>$B13 * IFERROR(VLOOKUP("industry|PM25|Non-fatal heart attacks", US_national_yearly!$D:$AM, 14, FALSE) / VLOOKUP("industry|PM25|Non-fatal heart attacks", US_national_yearly!$D:$AM, 10, FALSE), 1)</f>
        <v>3.7065597022880666E-3</v>
      </c>
      <c r="G13" s="7">
        <f>$B13 * IFERROR(VLOOKUP("industry|PM25|Non-fatal heart attacks", US_national_yearly!$D:$AM, 15, FALSE) / VLOOKUP("industry|PM25|Non-fatal heart attacks", US_national_yearly!$D:$AM, 10, FALSE), 1)</f>
        <v>3.7977997833070066E-3</v>
      </c>
      <c r="H13" s="7">
        <f>$B13 * IFERROR(VLOOKUP("industry|PM25|Non-fatal heart attacks", US_national_yearly!$D:$AM, 16, FALSE) / VLOOKUP("industry|PM25|Non-fatal heart attacks", US_national_yearly!$D:$AM, 10, FALSE), 1)</f>
        <v>3.8890398643259476E-3</v>
      </c>
      <c r="I13" s="7">
        <f>$B13 * IFERROR(VLOOKUP("industry|PM25|Non-fatal heart attacks", US_national_yearly!$D:$AM, 17, FALSE) / VLOOKUP("industry|PM25|Non-fatal heart attacks", US_national_yearly!$D:$AM, 10, FALSE), 1)</f>
        <v>3.9627170723720911E-3</v>
      </c>
      <c r="J13" s="7">
        <f>$B13 * IFERROR(VLOOKUP("industry|PM25|Non-fatal heart attacks", US_national_yearly!$D:$AM, 18, FALSE) / VLOOKUP("industry|PM25|Non-fatal heart attacks", US_national_yearly!$D:$AM, 10, FALSE), 1)</f>
        <v>4.0363942804182333E-3</v>
      </c>
      <c r="K13" s="7">
        <f>$B13 * IFERROR(VLOOKUP("industry|PM25|Non-fatal heart attacks", US_national_yearly!$D:$AM, 19, FALSE) / VLOOKUP("industry|PM25|Non-fatal heart attacks", US_national_yearly!$D:$AM, 10, FALSE), 1)</f>
        <v>4.1100714884643756E-3</v>
      </c>
      <c r="L13" s="7">
        <f>$B13 * IFERROR(VLOOKUP("industry|PM25|Non-fatal heart attacks", US_national_yearly!$D:$AM, 20, FALSE) / VLOOKUP("industry|PM25|Non-fatal heart attacks", US_national_yearly!$D:$AM, 10, FALSE), 1)</f>
        <v>4.1837486965105187E-3</v>
      </c>
      <c r="M13" s="7">
        <f>$B13 * IFERROR(VLOOKUP("industry|PM25|Non-fatal heart attacks", US_national_yearly!$D:$AM, 21, FALSE) / VLOOKUP("industry|PM25|Non-fatal heart attacks", US_national_yearly!$D:$AM, 10, FALSE), 1)</f>
        <v>4.2574259045566609E-3</v>
      </c>
      <c r="N13" s="7">
        <f>$B13 * IFERROR(VLOOKUP("industry|PM25|Non-fatal heart attacks", US_national_yearly!$D:$AM, 22, FALSE) / VLOOKUP("industry|PM25|Non-fatal heart attacks", US_national_yearly!$D:$AM, 10, FALSE), 1)</f>
        <v>4.3050623227104358E-3</v>
      </c>
      <c r="O13" s="7">
        <f>$B13 * IFERROR(VLOOKUP("industry|PM25|Non-fatal heart attacks", US_national_yearly!$D:$AM, 23, FALSE) / VLOOKUP("industry|PM25|Non-fatal heart attacks", US_national_yearly!$D:$AM, 10, FALSE), 1)</f>
        <v>4.3526987408642115E-3</v>
      </c>
      <c r="P13" s="7">
        <f>$B13 * IFERROR(VLOOKUP("industry|PM25|Non-fatal heart attacks", US_national_yearly!$D:$AM, 24, FALSE) / VLOOKUP("industry|PM25|Non-fatal heart attacks", US_national_yearly!$D:$AM, 10, FALSE), 1)</f>
        <v>4.4003351590179863E-3</v>
      </c>
      <c r="Q13" s="7">
        <f>$B13 * IFERROR(VLOOKUP("industry|PM25|Non-fatal heart attacks", US_national_yearly!$D:$AM, 25, FALSE) / VLOOKUP("industry|PM25|Non-fatal heart attacks", US_national_yearly!$D:$AM, 10, FALSE), 1)</f>
        <v>4.4479715771717611E-3</v>
      </c>
      <c r="R13" s="7">
        <f>$B13 * IFERROR(VLOOKUP("industry|PM25|Non-fatal heart attacks", US_national_yearly!$D:$AM, 26, FALSE) / VLOOKUP("industry|PM25|Non-fatal heart attacks", US_national_yearly!$D:$AM, 10, FALSE), 1)</f>
        <v>4.4956079953255368E-3</v>
      </c>
      <c r="S13" s="7">
        <f>$B13 * IFERROR(VLOOKUP("industry|PM25|Non-fatal heart attacks", US_national_yearly!$D:$AM, 27, FALSE) / VLOOKUP("industry|PM25|Non-fatal heart attacks", US_national_yearly!$D:$AM, 10, FALSE), 1)</f>
        <v>4.5210507867867854E-3</v>
      </c>
      <c r="T13" s="7">
        <f>$B13 * IFERROR(VLOOKUP("industry|PM25|Non-fatal heart attacks", US_national_yearly!$D:$AM, 28, FALSE) / VLOOKUP("industry|PM25|Non-fatal heart attacks", US_national_yearly!$D:$AM, 10, FALSE), 1)</f>
        <v>4.5464935782480349E-3</v>
      </c>
      <c r="U13" s="7">
        <f>$B13 * IFERROR(VLOOKUP("industry|PM25|Non-fatal heart attacks", US_national_yearly!$D:$AM, 29, FALSE) / VLOOKUP("industry|PM25|Non-fatal heart attacks", US_national_yearly!$D:$AM, 10, FALSE), 1)</f>
        <v>4.5719363697092844E-3</v>
      </c>
      <c r="V13" s="7">
        <f>$B13 * IFERROR(VLOOKUP("industry|PM25|Non-fatal heart attacks", US_national_yearly!$D:$AM, 30, FALSE) / VLOOKUP("industry|PM25|Non-fatal heart attacks", US_national_yearly!$D:$AM, 10, FALSE), 1)</f>
        <v>4.597379161170533E-3</v>
      </c>
      <c r="W13" s="7">
        <f>$B13 * IFERROR(VLOOKUP("industry|PM25|Non-fatal heart attacks", US_national_yearly!$D:$AM, 31, FALSE) / VLOOKUP("industry|PM25|Non-fatal heart attacks", US_national_yearly!$D:$AM, 10, FALSE), 1)</f>
        <v>4.6228219526317834E-3</v>
      </c>
      <c r="X13" s="7">
        <f>$B13 * IFERROR(VLOOKUP("industry|PM25|Non-fatal heart attacks", US_national_yearly!$D:$AM, 32, FALSE) / VLOOKUP("industry|PM25|Non-fatal heart attacks", US_national_yearly!$D:$AM, 10, FALSE), 1)</f>
        <v>4.642458534894439E-3</v>
      </c>
      <c r="Y13" s="7">
        <f>$B13 * IFERROR(VLOOKUP("industry|PM25|Non-fatal heart attacks", US_national_yearly!$D:$AM, 33, FALSE) / VLOOKUP("industry|PM25|Non-fatal heart attacks", US_national_yearly!$D:$AM, 10, FALSE), 1)</f>
        <v>4.6620951171570946E-3</v>
      </c>
      <c r="Z13" s="7">
        <f>$B13 * IFERROR(VLOOKUP("industry|PM25|Non-fatal heart attacks", US_national_yearly!$D:$AM, 34, FALSE) / VLOOKUP("industry|PM25|Non-fatal heart attacks", US_national_yearly!$D:$AM, 10, FALSE), 1)</f>
        <v>4.681731699419751E-3</v>
      </c>
      <c r="AA13" s="7">
        <f>$B13 * IFERROR(VLOOKUP("industry|PM25|Non-fatal heart attacks", US_national_yearly!$D:$AM, 35, FALSE) / VLOOKUP("industry|PM25|Non-fatal heart attacks", US_national_yearly!$D:$AM, 10, FALSE), 1)</f>
        <v>4.7013682816824075E-3</v>
      </c>
      <c r="AB13" s="7">
        <f>$B13 * IFERROR(VLOOKUP("industry|PM25|Non-fatal heart attacks", US_national_yearly!$D:$AM, 36, FALSE) / VLOOKUP("industry|PM25|Non-fatal heart attacks", US_national_yearly!$D:$AM, 10, FALSE), 1)</f>
        <v>4.7210048639450639E-3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2.4136156914118856</v>
      </c>
      <c r="C14" s="7">
        <f>$B14 * IFERROR(VLOOKUP("industry|PM25|Minor restricted activity days", US_national_yearly!$D:$AM, 11, FALSE) / VLOOKUP("industry|PM25|Minor restricted activity days", US_national_yearly!$D:$AM, 10, FALSE), 1)</f>
        <v>2.4195270363109116</v>
      </c>
      <c r="D14" s="7">
        <f>$B14 * IFERROR(VLOOKUP("industry|PM25|Minor restricted activity days", US_national_yearly!$D:$AM, 12, FALSE) / VLOOKUP("industry|PM25|Minor restricted activity days", US_national_yearly!$D:$AM, 10, FALSE), 1)</f>
        <v>2.425438381209938</v>
      </c>
      <c r="E14" s="7">
        <f>$B14 * IFERROR(VLOOKUP("industry|PM25|Minor restricted activity days", US_national_yearly!$D:$AM, 13, FALSE) / VLOOKUP("industry|PM25|Minor restricted activity days", US_national_yearly!$D:$AM, 10, FALSE), 1)</f>
        <v>2.431349726108964</v>
      </c>
      <c r="F14" s="7">
        <f>$B14 * IFERROR(VLOOKUP("industry|PM25|Minor restricted activity days", US_national_yearly!$D:$AM, 14, FALSE) / VLOOKUP("industry|PM25|Minor restricted activity days", US_national_yearly!$D:$AM, 10, FALSE), 1)</f>
        <v>2.4372610710079901</v>
      </c>
      <c r="G14" s="7">
        <f>$B14 * IFERROR(VLOOKUP("industry|PM25|Minor restricted activity days", US_national_yearly!$D:$AM, 15, FALSE) / VLOOKUP("industry|PM25|Minor restricted activity days", US_national_yearly!$D:$AM, 10, FALSE), 1)</f>
        <v>2.4459379645567432</v>
      </c>
      <c r="H14" s="7">
        <f>$B14 * IFERROR(VLOOKUP("industry|PM25|Minor restricted activity days", US_national_yearly!$D:$AM, 16, FALSE) / VLOOKUP("industry|PM25|Minor restricted activity days", US_national_yearly!$D:$AM, 10, FALSE), 1)</f>
        <v>2.4546148581054954</v>
      </c>
      <c r="I14" s="7">
        <f>$B14 * IFERROR(VLOOKUP("industry|PM25|Minor restricted activity days", US_national_yearly!$D:$AM, 17, FALSE) / VLOOKUP("industry|PM25|Minor restricted activity days", US_national_yearly!$D:$AM, 10, FALSE), 1)</f>
        <v>2.4693546691776427</v>
      </c>
      <c r="J14" s="7">
        <f>$B14 * IFERROR(VLOOKUP("industry|PM25|Minor restricted activity days", US_national_yearly!$D:$AM, 18, FALSE) / VLOOKUP("industry|PM25|Minor restricted activity days", US_national_yearly!$D:$AM, 10, FALSE), 1)</f>
        <v>2.4840944802497904</v>
      </c>
      <c r="K14" s="7">
        <f>$B14 * IFERROR(VLOOKUP("industry|PM25|Minor restricted activity days", US_national_yearly!$D:$AM, 19, FALSE) / VLOOKUP("industry|PM25|Minor restricted activity days", US_national_yearly!$D:$AM, 10, FALSE), 1)</f>
        <v>2.4988342913219372</v>
      </c>
      <c r="L14" s="7">
        <f>$B14 * IFERROR(VLOOKUP("industry|PM25|Minor restricted activity days", US_national_yearly!$D:$AM, 20, FALSE) / VLOOKUP("industry|PM25|Minor restricted activity days", US_national_yearly!$D:$AM, 10, FALSE), 1)</f>
        <v>2.5135741023940845</v>
      </c>
      <c r="M14" s="7">
        <f>$B14 * IFERROR(VLOOKUP("industry|PM25|Minor restricted activity days", US_national_yearly!$D:$AM, 21, FALSE) / VLOOKUP("industry|PM25|Minor restricted activity days", US_national_yearly!$D:$AM, 10, FALSE), 1)</f>
        <v>2.5283139134662318</v>
      </c>
      <c r="N14" s="7">
        <f>$B14 * IFERROR(VLOOKUP("industry|PM25|Minor restricted activity days", US_national_yearly!$D:$AM, 22, FALSE) / VLOOKUP("industry|PM25|Minor restricted activity days", US_national_yearly!$D:$AM, 10, FALSE), 1)</f>
        <v>2.5484499508134406</v>
      </c>
      <c r="O14" s="7">
        <f>$B14 * IFERROR(VLOOKUP("industry|PM25|Minor restricted activity days", US_national_yearly!$D:$AM, 23, FALSE) / VLOOKUP("industry|PM25|Minor restricted activity days", US_national_yearly!$D:$AM, 10, FALSE), 1)</f>
        <v>2.5685859881606516</v>
      </c>
      <c r="P14" s="7">
        <f>$B14 * IFERROR(VLOOKUP("industry|PM25|Minor restricted activity days", US_national_yearly!$D:$AM, 24, FALSE) / VLOOKUP("industry|PM25|Minor restricted activity days", US_national_yearly!$D:$AM, 10, FALSE), 1)</f>
        <v>2.5887220255078609</v>
      </c>
      <c r="Q14" s="7">
        <f>$B14 * IFERROR(VLOOKUP("industry|PM25|Minor restricted activity days", US_national_yearly!$D:$AM, 25, FALSE) / VLOOKUP("industry|PM25|Minor restricted activity days", US_national_yearly!$D:$AM, 10, FALSE), 1)</f>
        <v>2.6088580628550724</v>
      </c>
      <c r="R14" s="7">
        <f>$B14 * IFERROR(VLOOKUP("industry|PM25|Minor restricted activity days", US_national_yearly!$D:$AM, 26, FALSE) / VLOOKUP("industry|PM25|Minor restricted activity days", US_national_yearly!$D:$AM, 10, FALSE), 1)</f>
        <v>2.6289941002022812</v>
      </c>
      <c r="S14" s="7">
        <f>$B14 * IFERROR(VLOOKUP("industry|PM25|Minor restricted activity days", US_national_yearly!$D:$AM, 27, FALSE) / VLOOKUP("industry|PM25|Minor restricted activity days", US_national_yearly!$D:$AM, 10, FALSE), 1)</f>
        <v>2.649323451383168</v>
      </c>
      <c r="T14" s="7">
        <f>$B14 * IFERROR(VLOOKUP("industry|PM25|Minor restricted activity days", US_national_yearly!$D:$AM, 28, FALSE) / VLOOKUP("industry|PM25|Minor restricted activity days", US_national_yearly!$D:$AM, 10, FALSE), 1)</f>
        <v>2.6696528025640549</v>
      </c>
      <c r="U14" s="7">
        <f>$B14 * IFERROR(VLOOKUP("industry|PM25|Minor restricted activity days", US_national_yearly!$D:$AM, 29, FALSE) / VLOOKUP("industry|PM25|Minor restricted activity days", US_national_yearly!$D:$AM, 10, FALSE), 1)</f>
        <v>2.6899821537449418</v>
      </c>
      <c r="V14" s="7">
        <f>$B14 * IFERROR(VLOOKUP("industry|PM25|Minor restricted activity days", US_national_yearly!$D:$AM, 30, FALSE) / VLOOKUP("industry|PM25|Minor restricted activity days", US_national_yearly!$D:$AM, 10, FALSE), 1)</f>
        <v>2.7103115049258282</v>
      </c>
      <c r="W14" s="7">
        <f>$B14 * IFERROR(VLOOKUP("industry|PM25|Minor restricted activity days", US_national_yearly!$D:$AM, 31, FALSE) / VLOOKUP("industry|PM25|Minor restricted activity days", US_national_yearly!$D:$AM, 10, FALSE), 1)</f>
        <v>2.7306408561067155</v>
      </c>
      <c r="X14" s="7">
        <f>$B14 * IFERROR(VLOOKUP("industry|PM25|Minor restricted activity days", US_national_yearly!$D:$AM, 32, FALSE) / VLOOKUP("industry|PM25|Minor restricted activity days", US_national_yearly!$D:$AM, 10, FALSE), 1)</f>
        <v>2.7483063177614997</v>
      </c>
      <c r="Y14" s="7">
        <f>$B14 * IFERROR(VLOOKUP("industry|PM25|Minor restricted activity days", US_national_yearly!$D:$AM, 33, FALSE) / VLOOKUP("industry|PM25|Minor restricted activity days", US_national_yearly!$D:$AM, 10, FALSE), 1)</f>
        <v>2.7659717794162848</v>
      </c>
      <c r="Z14" s="7">
        <f>$B14 * IFERROR(VLOOKUP("industry|PM25|Minor restricted activity days", US_national_yearly!$D:$AM, 34, FALSE) / VLOOKUP("industry|PM25|Minor restricted activity days", US_national_yearly!$D:$AM, 10, FALSE), 1)</f>
        <v>2.7836372410710699</v>
      </c>
      <c r="AA14" s="7">
        <f>$B14 * IFERROR(VLOOKUP("industry|PM25|Minor restricted activity days", US_national_yearly!$D:$AM, 35, FALSE) / VLOOKUP("industry|PM25|Minor restricted activity days", US_national_yearly!$D:$AM, 10, FALSE), 1)</f>
        <v>2.801302702725855</v>
      </c>
      <c r="AB14" s="7">
        <f>$B14 * IFERROR(VLOOKUP("industry|PM25|Minor restricted activity days", US_national_yearly!$D:$AM, 36, FALSE) / VLOOKUP("industry|PM25|Minor restricted activity days", US_national_yearly!$D:$AM, 10, FALSE), 1)</f>
        <v>2.8189681643806397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0.40842733788138391</v>
      </c>
      <c r="C15" s="7">
        <f>$B15 * IFERROR(VLOOKUP("industry|PM25|Work loss days", US_national_yearly!$D:$AM, 11, FALSE) / VLOOKUP("industry|PM25|Work loss days", US_national_yearly!$D:$AM, 10, FALSE), 1)</f>
        <v>0.40969362661219455</v>
      </c>
      <c r="D15" s="7">
        <f>$B15 * IFERROR(VLOOKUP("industry|PM25|Work loss days", US_national_yearly!$D:$AM, 12, FALSE) / VLOOKUP("industry|PM25|Work loss days", US_national_yearly!$D:$AM, 10, FALSE), 1)</f>
        <v>0.41095991534300524</v>
      </c>
      <c r="E15" s="7">
        <f>$B15 * IFERROR(VLOOKUP("industry|PM25|Work loss days", US_national_yearly!$D:$AM, 13, FALSE) / VLOOKUP("industry|PM25|Work loss days", US_national_yearly!$D:$AM, 10, FALSE), 1)</f>
        <v>0.41222620407381583</v>
      </c>
      <c r="F15" s="7">
        <f>$B15 * IFERROR(VLOOKUP("industry|PM25|Work loss days", US_national_yearly!$D:$AM, 14, FALSE) / VLOOKUP("industry|PM25|Work loss days", US_national_yearly!$D:$AM, 10, FALSE), 1)</f>
        <v>0.41349249280462647</v>
      </c>
      <c r="G15" s="7">
        <f>$B15 * IFERROR(VLOOKUP("industry|PM25|Work loss days", US_national_yearly!$D:$AM, 15, FALSE) / VLOOKUP("industry|PM25|Work loss days", US_national_yearly!$D:$AM, 10, FALSE), 1)</f>
        <v>0.41514568818695158</v>
      </c>
      <c r="H15" s="7">
        <f>$B15 * IFERROR(VLOOKUP("industry|PM25|Work loss days", US_national_yearly!$D:$AM, 16, FALSE) / VLOOKUP("industry|PM25|Work loss days", US_national_yearly!$D:$AM, 10, FALSE), 1)</f>
        <v>0.41679888356927663</v>
      </c>
      <c r="I15" s="7">
        <f>$B15 * IFERROR(VLOOKUP("industry|PM25|Work loss days", US_national_yearly!$D:$AM, 17, FALSE) / VLOOKUP("industry|PM25|Work loss days", US_national_yearly!$D:$AM, 10, FALSE), 1)</f>
        <v>0.41921968776127361</v>
      </c>
      <c r="J15" s="7">
        <f>$B15 * IFERROR(VLOOKUP("industry|PM25|Work loss days", US_national_yearly!$D:$AM, 18, FALSE) / VLOOKUP("industry|PM25|Work loss days", US_national_yearly!$D:$AM, 10, FALSE), 1)</f>
        <v>0.42164049195327058</v>
      </c>
      <c r="K15" s="7">
        <f>$B15 * IFERROR(VLOOKUP("industry|PM25|Work loss days", US_national_yearly!$D:$AM, 19, FALSE) / VLOOKUP("industry|PM25|Work loss days", US_national_yearly!$D:$AM, 10, FALSE), 1)</f>
        <v>0.42406129614526739</v>
      </c>
      <c r="L15" s="7">
        <f>$B15 * IFERROR(VLOOKUP("industry|PM25|Work loss days", US_national_yearly!$D:$AM, 20, FALSE) / VLOOKUP("industry|PM25|Work loss days", US_national_yearly!$D:$AM, 10, FALSE), 1)</f>
        <v>0.42648210033726436</v>
      </c>
      <c r="M15" s="7">
        <f>$B15 * IFERROR(VLOOKUP("industry|PM25|Work loss days", US_national_yearly!$D:$AM, 21, FALSE) / VLOOKUP("industry|PM25|Work loss days", US_national_yearly!$D:$AM, 10, FALSE), 1)</f>
        <v>0.42890290452926128</v>
      </c>
      <c r="N15" s="7">
        <f>$B15 * IFERROR(VLOOKUP("industry|PM25|Work loss days", US_national_yearly!$D:$AM, 22, FALSE) / VLOOKUP("industry|PM25|Work loss days", US_national_yearly!$D:$AM, 10, FALSE), 1)</f>
        <v>0.43195764166992051</v>
      </c>
      <c r="O15" s="7">
        <f>$B15 * IFERROR(VLOOKUP("industry|PM25|Work loss days", US_national_yearly!$D:$AM, 23, FALSE) / VLOOKUP("industry|PM25|Work loss days", US_national_yearly!$D:$AM, 10, FALSE), 1)</f>
        <v>0.43501237881057975</v>
      </c>
      <c r="P15" s="7">
        <f>$B15 * IFERROR(VLOOKUP("industry|PM25|Work loss days", US_national_yearly!$D:$AM, 24, FALSE) / VLOOKUP("industry|PM25|Work loss days", US_national_yearly!$D:$AM, 10, FALSE), 1)</f>
        <v>0.43806711595123887</v>
      </c>
      <c r="Q15" s="7">
        <f>$B15 * IFERROR(VLOOKUP("industry|PM25|Work loss days", US_national_yearly!$D:$AM, 25, FALSE) / VLOOKUP("industry|PM25|Work loss days", US_national_yearly!$D:$AM, 10, FALSE), 1)</f>
        <v>0.44112185309189805</v>
      </c>
      <c r="R15" s="7">
        <f>$B15 * IFERROR(VLOOKUP("industry|PM25|Work loss days", US_national_yearly!$D:$AM, 26, FALSE) / VLOOKUP("industry|PM25|Work loss days", US_national_yearly!$D:$AM, 10, FALSE), 1)</f>
        <v>0.44417659023255718</v>
      </c>
      <c r="S15" s="7">
        <f>$B15 * IFERROR(VLOOKUP("industry|PM25|Work loss days", US_national_yearly!$D:$AM, 27, FALSE) / VLOOKUP("industry|PM25|Work loss days", US_national_yearly!$D:$AM, 10, FALSE), 1)</f>
        <v>0.44756386065612092</v>
      </c>
      <c r="T15" s="7">
        <f>$B15 * IFERROR(VLOOKUP("industry|PM25|Work loss days", US_national_yearly!$D:$AM, 28, FALSE) / VLOOKUP("industry|PM25|Work loss days", US_national_yearly!$D:$AM, 10, FALSE), 1)</f>
        <v>0.45095113107968454</v>
      </c>
      <c r="U15" s="7">
        <f>$B15 * IFERROR(VLOOKUP("industry|PM25|Work loss days", US_national_yearly!$D:$AM, 29, FALSE) / VLOOKUP("industry|PM25|Work loss days", US_national_yearly!$D:$AM, 10, FALSE), 1)</f>
        <v>0.45433840150324811</v>
      </c>
      <c r="V15" s="7">
        <f>$B15 * IFERROR(VLOOKUP("industry|PM25|Work loss days", US_national_yearly!$D:$AM, 30, FALSE) / VLOOKUP("industry|PM25|Work loss days", US_national_yearly!$D:$AM, 10, FALSE), 1)</f>
        <v>0.45772567192681174</v>
      </c>
      <c r="W15" s="7">
        <f>$B15 * IFERROR(VLOOKUP("industry|PM25|Work loss days", US_national_yearly!$D:$AM, 31, FALSE) / VLOOKUP("industry|PM25|Work loss days", US_national_yearly!$D:$AM, 10, FALSE), 1)</f>
        <v>0.46111294235037548</v>
      </c>
      <c r="X15" s="7">
        <f>$B15 * IFERROR(VLOOKUP("industry|PM25|Work loss days", US_national_yearly!$D:$AM, 32, FALSE) / VLOOKUP("industry|PM25|Work loss days", US_national_yearly!$D:$AM, 10, FALSE), 1)</f>
        <v>0.46412297751403053</v>
      </c>
      <c r="Y15" s="7">
        <f>$B15 * IFERROR(VLOOKUP("industry|PM25|Work loss days", US_national_yearly!$D:$AM, 33, FALSE) / VLOOKUP("industry|PM25|Work loss days", US_national_yearly!$D:$AM, 10, FALSE), 1)</f>
        <v>0.4671330126776857</v>
      </c>
      <c r="Z15" s="7">
        <f>$B15 * IFERROR(VLOOKUP("industry|PM25|Work loss days", US_national_yearly!$D:$AM, 34, FALSE) / VLOOKUP("industry|PM25|Work loss days", US_national_yearly!$D:$AM, 10, FALSE), 1)</f>
        <v>0.47014304784134087</v>
      </c>
      <c r="AA15" s="7">
        <f>$B15 * IFERROR(VLOOKUP("industry|PM25|Work loss days", US_national_yearly!$D:$AM, 35, FALSE) / VLOOKUP("industry|PM25|Work loss days", US_national_yearly!$D:$AM, 10, FALSE), 1)</f>
        <v>0.47315308300499592</v>
      </c>
      <c r="AB15" s="7">
        <f>$B15 * IFERROR(VLOOKUP("industry|PM25|Work loss days", US_national_yearly!$D:$AM, 36, FALSE) / VLOOKUP("industry|PM25|Work loss days", US_national_yearly!$D:$AM, 10, FALSE), 1)</f>
        <v>0.47616311816865109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6.2516538597553149E-4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6.4386448347641034E-4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6.625635809772893E-4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6.8126267847816815E-4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6.9996177597904689E-4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7.1788351312674042E-4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7.3580525027443363E-4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7.5119263217610717E-4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7.6658001407778039E-4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7.8196739597945404E-4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7.9735477788112747E-4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8.127421597828009E-4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8.2302098890582294E-4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8.3329981802884477E-4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8.4357864715186659E-4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8.5385747627488853E-4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8.6413630539791035E-4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8.6964345277486341E-4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8.7515060015181648E-4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8.8065774752876965E-4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8.861648949057226E-4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8.9167204228267555E-4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8.9545377040460832E-4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8.9923549852654065E-4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9.0301722664847331E-4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9.0679895477040564E-4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9.1058068289233819E-4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1.3055447732626617E-4</v>
      </c>
      <c r="C2" s="7">
        <f>$B2 * IFERROR(VLOOKUP("industry|NOx|Premature mortality", US_national_yearly!$D:$AM, 11, FALSE) / VLOOKUP("industry|NOx|Premature mortality", US_national_yearly!$D:$AM, 10, FALSE), 1)</f>
        <v>1.3248495211474933E-4</v>
      </c>
      <c r="D2" s="7">
        <f>$B2 * IFERROR(VLOOKUP("industry|NOx|Premature mortality", US_national_yearly!$D:$AM, 12, FALSE) / VLOOKUP("industry|NOx|Premature mortality", US_national_yearly!$D:$AM, 10, FALSE), 1)</f>
        <v>1.3441542690323255E-4</v>
      </c>
      <c r="E2" s="7">
        <f>$B2 * IFERROR(VLOOKUP("industry|NOx|Premature mortality", US_national_yearly!$D:$AM, 13, FALSE) / VLOOKUP("industry|NOx|Premature mortality", US_national_yearly!$D:$AM, 10, FALSE), 1)</f>
        <v>1.3634590169171572E-4</v>
      </c>
      <c r="F2" s="7">
        <f>$B2 * IFERROR(VLOOKUP("industry|NOx|Premature mortality", US_national_yearly!$D:$AM, 14, FALSE) / VLOOKUP("industry|NOx|Premature mortality", US_national_yearly!$D:$AM, 10, FALSE), 1)</f>
        <v>1.3827637648019891E-4</v>
      </c>
      <c r="G2" s="7">
        <f>$B2 * IFERROR(VLOOKUP("industry|NOx|Premature mortality", US_national_yearly!$D:$AM, 15, FALSE) / VLOOKUP("industry|NOx|Premature mortality", US_national_yearly!$D:$AM, 10, FALSE), 1)</f>
        <v>1.4173844070495674E-4</v>
      </c>
      <c r="H2" s="7">
        <f>$B2 * IFERROR(VLOOKUP("industry|NOx|Premature mortality", US_national_yearly!$D:$AM, 16, FALSE) / VLOOKUP("industry|NOx|Premature mortality", US_national_yearly!$D:$AM, 10, FALSE), 1)</f>
        <v>1.4520050492971458E-4</v>
      </c>
      <c r="I2" s="7">
        <f>$B2 * IFERROR(VLOOKUP("industry|NOx|Premature mortality", US_national_yearly!$D:$AM, 17, FALSE) / VLOOKUP("industry|NOx|Premature mortality", US_national_yearly!$D:$AM, 10, FALSE), 1)</f>
        <v>1.4744646248550622E-4</v>
      </c>
      <c r="J2" s="7">
        <f>$B2 * IFERROR(VLOOKUP("industry|NOx|Premature mortality", US_national_yearly!$D:$AM, 18, FALSE) / VLOOKUP("industry|NOx|Premature mortality", US_national_yearly!$D:$AM, 10, FALSE), 1)</f>
        <v>1.4969242004129788E-4</v>
      </c>
      <c r="K2" s="7">
        <f>$B2 * IFERROR(VLOOKUP("industry|NOx|Premature mortality", US_national_yearly!$D:$AM, 19, FALSE) / VLOOKUP("industry|NOx|Premature mortality", US_national_yearly!$D:$AM, 10, FALSE), 1)</f>
        <v>1.5193837759708954E-4</v>
      </c>
      <c r="L2" s="7">
        <f>$B2 * IFERROR(VLOOKUP("industry|NOx|Premature mortality", US_national_yearly!$D:$AM, 20, FALSE) / VLOOKUP("industry|NOx|Premature mortality", US_national_yearly!$D:$AM, 10, FALSE), 1)</f>
        <v>1.5418433515288117E-4</v>
      </c>
      <c r="M2" s="7">
        <f>$B2 * IFERROR(VLOOKUP("industry|NOx|Premature mortality", US_national_yearly!$D:$AM, 21, FALSE) / VLOOKUP("industry|NOx|Premature mortality", US_national_yearly!$D:$AM, 10, FALSE), 1)</f>
        <v>1.5643029270867283E-4</v>
      </c>
      <c r="N2" s="7">
        <f>$B2 * IFERROR(VLOOKUP("industry|NOx|Premature mortality", US_national_yearly!$D:$AM, 22, FALSE) / VLOOKUP("industry|NOx|Premature mortality", US_national_yearly!$D:$AM, 10, FALSE), 1)</f>
        <v>1.5810157820618715E-4</v>
      </c>
      <c r="O2" s="7">
        <f>$B2 * IFERROR(VLOOKUP("industry|NOx|Premature mortality", US_national_yearly!$D:$AM, 23, FALSE) / VLOOKUP("industry|NOx|Premature mortality", US_national_yearly!$D:$AM, 10, FALSE), 1)</f>
        <v>1.5977286370370144E-4</v>
      </c>
      <c r="P2" s="7">
        <f>$B2 * IFERROR(VLOOKUP("industry|NOx|Premature mortality", US_national_yearly!$D:$AM, 24, FALSE) / VLOOKUP("industry|NOx|Premature mortality", US_national_yearly!$D:$AM, 10, FALSE), 1)</f>
        <v>1.6144414920121571E-4</v>
      </c>
      <c r="Q2" s="7">
        <f>$B2 * IFERROR(VLOOKUP("industry|NOx|Premature mortality", US_national_yearly!$D:$AM, 25, FALSE) / VLOOKUP("industry|NOx|Premature mortality", US_national_yearly!$D:$AM, 10, FALSE), 1)</f>
        <v>1.6311543469873E-4</v>
      </c>
      <c r="R2" s="7">
        <f>$B2 * IFERROR(VLOOKUP("industry|NOx|Premature mortality", US_national_yearly!$D:$AM, 26, FALSE) / VLOOKUP("industry|NOx|Premature mortality", US_national_yearly!$D:$AM, 10, FALSE), 1)</f>
        <v>1.6478672019624429E-4</v>
      </c>
      <c r="S2" s="7">
        <f>$B2 * IFERROR(VLOOKUP("industry|NOx|Premature mortality", US_national_yearly!$D:$AM, 27, FALSE) / VLOOKUP("industry|NOx|Premature mortality", US_national_yearly!$D:$AM, 10, FALSE), 1)</f>
        <v>1.655649716268512E-4</v>
      </c>
      <c r="T2" s="7">
        <f>$B2 * IFERROR(VLOOKUP("industry|NOx|Premature mortality", US_national_yearly!$D:$AM, 28, FALSE) / VLOOKUP("industry|NOx|Premature mortality", US_national_yearly!$D:$AM, 10, FALSE), 1)</f>
        <v>1.6634322305745811E-4</v>
      </c>
      <c r="U2" s="7">
        <f>$B2 * IFERROR(VLOOKUP("industry|NOx|Premature mortality", US_national_yearly!$D:$AM, 29, FALSE) / VLOOKUP("industry|NOx|Premature mortality", US_national_yearly!$D:$AM, 10, FALSE), 1)</f>
        <v>1.6712147448806502E-4</v>
      </c>
      <c r="V2" s="7">
        <f>$B2 * IFERROR(VLOOKUP("industry|NOx|Premature mortality", US_national_yearly!$D:$AM, 30, FALSE) / VLOOKUP("industry|NOx|Premature mortality", US_national_yearly!$D:$AM, 10, FALSE), 1)</f>
        <v>1.6789972591867193E-4</v>
      </c>
      <c r="W2" s="7">
        <f>$B2 * IFERROR(VLOOKUP("industry|NOx|Premature mortality", US_national_yearly!$D:$AM, 31, FALSE) / VLOOKUP("industry|NOx|Premature mortality", US_national_yearly!$D:$AM, 10, FALSE), 1)</f>
        <v>1.6867797734927882E-4</v>
      </c>
      <c r="X2" s="7">
        <f>$B2 * IFERROR(VLOOKUP("industry|NOx|Premature mortality", US_national_yearly!$D:$AM, 32, FALSE) / VLOOKUP("industry|NOx|Premature mortality", US_national_yearly!$D:$AM, 10, FALSE), 1)</f>
        <v>1.6873745381259104E-4</v>
      </c>
      <c r="Y2" s="7">
        <f>$B2 * IFERROR(VLOOKUP("industry|NOx|Premature mortality", US_national_yearly!$D:$AM, 33, FALSE) / VLOOKUP("industry|NOx|Premature mortality", US_national_yearly!$D:$AM, 10, FALSE), 1)</f>
        <v>1.6879693027590327E-4</v>
      </c>
      <c r="Z2" s="7">
        <f>$B2 * IFERROR(VLOOKUP("industry|NOx|Premature mortality", US_national_yearly!$D:$AM, 34, FALSE) / VLOOKUP("industry|NOx|Premature mortality", US_national_yearly!$D:$AM, 10, FALSE), 1)</f>
        <v>1.6885640673921549E-4</v>
      </c>
      <c r="AA2" s="7">
        <f>$B2 * IFERROR(VLOOKUP("industry|NOx|Premature mortality", US_national_yearly!$D:$AM, 35, FALSE) / VLOOKUP("industry|NOx|Premature mortality", US_national_yearly!$D:$AM, 10, FALSE), 1)</f>
        <v>1.6891588320252775E-4</v>
      </c>
      <c r="AB2" s="7">
        <f>$B2 * IFERROR(VLOOKUP("industry|NOx|Premature mortality", US_national_yearly!$D:$AM, 36, FALSE) / VLOOKUP("industry|NOx|Premature mortality", US_national_yearly!$D:$AM, 10, FALSE), 1)</f>
        <v>1.6897535966583997E-4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2.4766827592961367E-7</v>
      </c>
      <c r="C3" s="7">
        <f>$B3 * IFERROR(VLOOKUP("industry|NOx|Infant mortality", US_national_yearly!$D:$AM, 11, FALSE) / VLOOKUP("industry|NOx|Infant mortality", US_national_yearly!$D:$AM, 10, FALSE), 1)</f>
        <v>2.4529639835581881E-7</v>
      </c>
      <c r="D3" s="7">
        <f>$B3 * IFERROR(VLOOKUP("industry|NOx|Infant mortality", US_national_yearly!$D:$AM, 12, FALSE) / VLOOKUP("industry|NOx|Infant mortality", US_national_yearly!$D:$AM, 10, FALSE), 1)</f>
        <v>2.429245207820239E-7</v>
      </c>
      <c r="E3" s="7">
        <f>$B3 * IFERROR(VLOOKUP("industry|NOx|Infant mortality", US_national_yearly!$D:$AM, 13, FALSE) / VLOOKUP("industry|NOx|Infant mortality", US_national_yearly!$D:$AM, 10, FALSE), 1)</f>
        <v>2.4055264320822905E-7</v>
      </c>
      <c r="F3" s="7">
        <f>$B3 * IFERROR(VLOOKUP("industry|NOx|Infant mortality", US_national_yearly!$D:$AM, 14, FALSE) / VLOOKUP("industry|NOx|Infant mortality", US_national_yearly!$D:$AM, 10, FALSE), 1)</f>
        <v>2.3818076563443414E-7</v>
      </c>
      <c r="G3" s="7">
        <f>$B3 * IFERROR(VLOOKUP("industry|NOx|Infant mortality", US_national_yearly!$D:$AM, 15, FALSE) / VLOOKUP("industry|NOx|Infant mortality", US_national_yearly!$D:$AM, 10, FALSE), 1)</f>
        <v>1.5798249979071211E-7</v>
      </c>
      <c r="H3" s="7">
        <f>$B3 * IFERROR(VLOOKUP("industry|NOx|Infant mortality", US_national_yearly!$D:$AM, 16, FALSE) / VLOOKUP("industry|NOx|Infant mortality", US_national_yearly!$D:$AM, 10, FALSE), 1)</f>
        <v>7.7784233946990103E-8</v>
      </c>
      <c r="I3" s="7">
        <f>$B3 * IFERROR(VLOOKUP("industry|NOx|Infant mortality", US_national_yearly!$D:$AM, 17, FALSE) / VLOOKUP("industry|NOx|Infant mortality", US_national_yearly!$D:$AM, 10, FALSE), 1)</f>
        <v>7.7223443204589739E-8</v>
      </c>
      <c r="J3" s="7">
        <f>$B3 * IFERROR(VLOOKUP("industry|NOx|Infant mortality", US_national_yearly!$D:$AM, 18, FALSE) / VLOOKUP("industry|NOx|Infant mortality", US_national_yearly!$D:$AM, 10, FALSE), 1)</f>
        <v>7.6662652462189389E-8</v>
      </c>
      <c r="K3" s="7">
        <f>$B3 * IFERROR(VLOOKUP("industry|NOx|Infant mortality", US_national_yearly!$D:$AM, 19, FALSE) / VLOOKUP("industry|NOx|Infant mortality", US_national_yearly!$D:$AM, 10, FALSE), 1)</f>
        <v>7.6101861719789012E-8</v>
      </c>
      <c r="L3" s="7">
        <f>$B3 * IFERROR(VLOOKUP("industry|NOx|Infant mortality", US_national_yearly!$D:$AM, 20, FALSE) / VLOOKUP("industry|NOx|Infant mortality", US_national_yearly!$D:$AM, 10, FALSE), 1)</f>
        <v>7.5541070977388635E-8</v>
      </c>
      <c r="M3" s="7">
        <f>$B3 * IFERROR(VLOOKUP("industry|NOx|Infant mortality", US_national_yearly!$D:$AM, 21, FALSE) / VLOOKUP("industry|NOx|Infant mortality", US_national_yearly!$D:$AM, 10, FALSE), 1)</f>
        <v>7.4980280234988258E-8</v>
      </c>
      <c r="N3" s="7">
        <f>$B3 * IFERROR(VLOOKUP("industry|NOx|Infant mortality", US_national_yearly!$D:$AM, 22, FALSE) / VLOOKUP("industry|NOx|Infant mortality", US_national_yearly!$D:$AM, 10, FALSE), 1)</f>
        <v>7.4602444728325387E-8</v>
      </c>
      <c r="O3" s="7">
        <f>$B3 * IFERROR(VLOOKUP("industry|NOx|Infant mortality", US_national_yearly!$D:$AM, 23, FALSE) / VLOOKUP("industry|NOx|Infant mortality", US_national_yearly!$D:$AM, 10, FALSE), 1)</f>
        <v>7.4224609221662503E-8</v>
      </c>
      <c r="P3" s="7">
        <f>$B3 * IFERROR(VLOOKUP("industry|NOx|Infant mortality", US_national_yearly!$D:$AM, 24, FALSE) / VLOOKUP("industry|NOx|Infant mortality", US_national_yearly!$D:$AM, 10, FALSE), 1)</f>
        <v>7.3846773714999619E-8</v>
      </c>
      <c r="Q3" s="7">
        <f>$B3 * IFERROR(VLOOKUP("industry|NOx|Infant mortality", US_national_yearly!$D:$AM, 25, FALSE) / VLOOKUP("industry|NOx|Infant mortality", US_national_yearly!$D:$AM, 10, FALSE), 1)</f>
        <v>7.3468938208336748E-8</v>
      </c>
      <c r="R3" s="7">
        <f>$B3 * IFERROR(VLOOKUP("industry|NOx|Infant mortality", US_national_yearly!$D:$AM, 26, FALSE) / VLOOKUP("industry|NOx|Infant mortality", US_national_yearly!$D:$AM, 10, FALSE), 1)</f>
        <v>7.3091102701673877E-8</v>
      </c>
      <c r="S3" s="7">
        <f>$B3 * IFERROR(VLOOKUP("industry|NOx|Infant mortality", US_national_yearly!$D:$AM, 27, FALSE) / VLOOKUP("industry|NOx|Infant mortality", US_national_yearly!$D:$AM, 10, FALSE), 1)</f>
        <v>7.264242979248346E-8</v>
      </c>
      <c r="T3" s="7">
        <f>$B3 * IFERROR(VLOOKUP("industry|NOx|Infant mortality", US_national_yearly!$D:$AM, 28, FALSE) / VLOOKUP("industry|NOx|Infant mortality", US_national_yearly!$D:$AM, 10, FALSE), 1)</f>
        <v>7.2193756883293057E-8</v>
      </c>
      <c r="U3" s="7">
        <f>$B3 * IFERROR(VLOOKUP("industry|NOx|Infant mortality", US_national_yearly!$D:$AM, 29, FALSE) / VLOOKUP("industry|NOx|Infant mortality", US_national_yearly!$D:$AM, 10, FALSE), 1)</f>
        <v>7.1745083974102641E-8</v>
      </c>
      <c r="V3" s="7">
        <f>$B3 * IFERROR(VLOOKUP("industry|NOx|Infant mortality", US_national_yearly!$D:$AM, 30, FALSE) / VLOOKUP("industry|NOx|Infant mortality", US_national_yearly!$D:$AM, 10, FALSE), 1)</f>
        <v>7.1296411064912238E-8</v>
      </c>
      <c r="W3" s="7">
        <f>$B3 * IFERROR(VLOOKUP("industry|NOx|Infant mortality", US_national_yearly!$D:$AM, 31, FALSE) / VLOOKUP("industry|NOx|Infant mortality", US_national_yearly!$D:$AM, 10, FALSE), 1)</f>
        <v>7.0847738155721835E-8</v>
      </c>
      <c r="X3" s="7">
        <f>$B3 * IFERROR(VLOOKUP("industry|NOx|Infant mortality", US_national_yearly!$D:$AM, 32, FALSE) / VLOOKUP("industry|NOx|Infant mortality", US_national_yearly!$D:$AM, 10, FALSE), 1)</f>
        <v>7.0376581920386011E-8</v>
      </c>
      <c r="Y3" s="7">
        <f>$B3 * IFERROR(VLOOKUP("industry|NOx|Infant mortality", US_national_yearly!$D:$AM, 33, FALSE) / VLOOKUP("industry|NOx|Infant mortality", US_national_yearly!$D:$AM, 10, FALSE), 1)</f>
        <v>6.9905425685050187E-8</v>
      </c>
      <c r="Z3" s="7">
        <f>$B3 * IFERROR(VLOOKUP("industry|NOx|Infant mortality", US_national_yearly!$D:$AM, 34, FALSE) / VLOOKUP("industry|NOx|Infant mortality", US_national_yearly!$D:$AM, 10, FALSE), 1)</f>
        <v>6.9434269449714364E-8</v>
      </c>
      <c r="AA3" s="7">
        <f>$B3 * IFERROR(VLOOKUP("industry|NOx|Infant mortality", US_national_yearly!$D:$AM, 35, FALSE) / VLOOKUP("industry|NOx|Infant mortality", US_national_yearly!$D:$AM, 10, FALSE), 1)</f>
        <v>6.896311321437854E-8</v>
      </c>
      <c r="AB3" s="7">
        <f>$B3 * IFERROR(VLOOKUP("industry|NOx|Infant mortality", US_national_yearly!$D:$AM, 36, FALSE) / VLOOKUP("industry|NOx|Infant mortality", US_national_yearly!$D:$AM, 10, FALSE), 1)</f>
        <v>6.8491956979042716E-8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3.2253002555336321E-4</v>
      </c>
      <c r="C6" s="7">
        <f>$B6 * IFERROR(VLOOKUP("industry|NOx|Asthma symptoms cough", US_national_yearly!$D:$AM, 11, FALSE) / VLOOKUP("industry|NOx|Asthma symptoms cough", US_national_yearly!$D:$AM, 10, FALSE), 1)</f>
        <v>3.269423457431877E-4</v>
      </c>
      <c r="D6" s="7">
        <f>$B6 * IFERROR(VLOOKUP("industry|NOx|Asthma symptoms cough", US_national_yearly!$D:$AM, 12, FALSE) / VLOOKUP("industry|NOx|Asthma symptoms cough", US_national_yearly!$D:$AM, 10, FALSE), 1)</f>
        <v>3.313546659330122E-4</v>
      </c>
      <c r="E6" s="7">
        <f>$B6 * IFERROR(VLOOKUP("industry|NOx|Asthma symptoms cough", US_national_yearly!$D:$AM, 13, FALSE) / VLOOKUP("industry|NOx|Asthma symptoms cough", US_national_yearly!$D:$AM, 10, FALSE), 1)</f>
        <v>3.3576698612283664E-4</v>
      </c>
      <c r="F6" s="7">
        <f>$B6 * IFERROR(VLOOKUP("industry|NOx|Asthma symptoms cough", US_national_yearly!$D:$AM, 14, FALSE) / VLOOKUP("industry|NOx|Asthma symptoms cough", US_national_yearly!$D:$AM, 10, FALSE), 1)</f>
        <v>3.4017930631266113E-4</v>
      </c>
      <c r="G6" s="7">
        <f>$B6 * IFERROR(VLOOKUP("industry|NOx|Asthma symptoms cough", US_national_yearly!$D:$AM, 15, FALSE) / VLOOKUP("industry|NOx|Asthma symptoms cough", US_national_yearly!$D:$AM, 10, FALSE), 1)</f>
        <v>3.4371730258880368E-4</v>
      </c>
      <c r="H6" s="7">
        <f>$B6 * IFERROR(VLOOKUP("industry|NOx|Asthma symptoms cough", US_national_yearly!$D:$AM, 16, FALSE) / VLOOKUP("industry|NOx|Asthma symptoms cough", US_national_yearly!$D:$AM, 10, FALSE), 1)</f>
        <v>3.4725529886494628E-4</v>
      </c>
      <c r="I6" s="7">
        <f>$B6 * IFERROR(VLOOKUP("industry|NOx|Asthma symptoms cough", US_national_yearly!$D:$AM, 17, FALSE) / VLOOKUP("industry|NOx|Asthma symptoms cough", US_national_yearly!$D:$AM, 10, FALSE), 1)</f>
        <v>3.4848655293361752E-4</v>
      </c>
      <c r="J6" s="7">
        <f>$B6 * IFERROR(VLOOKUP("industry|NOx|Asthma symptoms cough", US_national_yearly!$D:$AM, 18, FALSE) / VLOOKUP("industry|NOx|Asthma symptoms cough", US_national_yearly!$D:$AM, 10, FALSE), 1)</f>
        <v>3.4971780700228887E-4</v>
      </c>
      <c r="K6" s="7">
        <f>$B6 * IFERROR(VLOOKUP("industry|NOx|Asthma symptoms cough", US_national_yearly!$D:$AM, 19, FALSE) / VLOOKUP("industry|NOx|Asthma symptoms cough", US_national_yearly!$D:$AM, 10, FALSE), 1)</f>
        <v>3.5094906107096011E-4</v>
      </c>
      <c r="L6" s="7">
        <f>$B6 * IFERROR(VLOOKUP("industry|NOx|Asthma symptoms cough", US_national_yearly!$D:$AM, 20, FALSE) / VLOOKUP("industry|NOx|Asthma symptoms cough", US_national_yearly!$D:$AM, 10, FALSE), 1)</f>
        <v>3.5218031513963141E-4</v>
      </c>
      <c r="M6" s="7">
        <f>$B6 * IFERROR(VLOOKUP("industry|NOx|Asthma symptoms cough", US_national_yearly!$D:$AM, 21, FALSE) / VLOOKUP("industry|NOx|Asthma symptoms cough", US_national_yearly!$D:$AM, 10, FALSE), 1)</f>
        <v>3.5341156920830271E-4</v>
      </c>
      <c r="N6" s="7">
        <f>$B6 * IFERROR(VLOOKUP("industry|NOx|Asthma symptoms cough", US_national_yearly!$D:$AM, 22, FALSE) / VLOOKUP("industry|NOx|Asthma symptoms cough", US_national_yearly!$D:$AM, 10, FALSE), 1)</f>
        <v>3.5481707933929295E-4</v>
      </c>
      <c r="O6" s="7">
        <f>$B6 * IFERROR(VLOOKUP("industry|NOx|Asthma symptoms cough", US_national_yearly!$D:$AM, 23, FALSE) / VLOOKUP("industry|NOx|Asthma symptoms cough", US_national_yearly!$D:$AM, 10, FALSE), 1)</f>
        <v>3.5622258947028314E-4</v>
      </c>
      <c r="P6" s="7">
        <f>$B6 * IFERROR(VLOOKUP("industry|NOx|Asthma symptoms cough", US_national_yearly!$D:$AM, 24, FALSE) / VLOOKUP("industry|NOx|Asthma symptoms cough", US_national_yearly!$D:$AM, 10, FALSE), 1)</f>
        <v>3.5762809960127338E-4</v>
      </c>
      <c r="Q6" s="7">
        <f>$B6 * IFERROR(VLOOKUP("industry|NOx|Asthma symptoms cough", US_national_yearly!$D:$AM, 25, FALSE) / VLOOKUP("industry|NOx|Asthma symptoms cough", US_national_yearly!$D:$AM, 10, FALSE), 1)</f>
        <v>3.5903360973226362E-4</v>
      </c>
      <c r="R6" s="7">
        <f>$B6 * IFERROR(VLOOKUP("industry|NOx|Asthma symptoms cough", US_national_yearly!$D:$AM, 26, FALSE) / VLOOKUP("industry|NOx|Asthma symptoms cough", US_national_yearly!$D:$AM, 10, FALSE), 1)</f>
        <v>3.6043911986325387E-4</v>
      </c>
      <c r="S6" s="7">
        <f>$B6 * IFERROR(VLOOKUP("industry|NOx|Asthma symptoms cough", US_national_yearly!$D:$AM, 27, FALSE) / VLOOKUP("industry|NOx|Asthma symptoms cough", US_national_yearly!$D:$AM, 10, FALSE), 1)</f>
        <v>3.6225216574401663E-4</v>
      </c>
      <c r="T6" s="7">
        <f>$B6 * IFERROR(VLOOKUP("industry|NOx|Asthma symptoms cough", US_national_yearly!$D:$AM, 28, FALSE) / VLOOKUP("industry|NOx|Asthma symptoms cough", US_national_yearly!$D:$AM, 10, FALSE), 1)</f>
        <v>3.6406521162477939E-4</v>
      </c>
      <c r="U6" s="7">
        <f>$B6 * IFERROR(VLOOKUP("industry|NOx|Asthma symptoms cough", US_national_yearly!$D:$AM, 29, FALSE) / VLOOKUP("industry|NOx|Asthma symptoms cough", US_national_yearly!$D:$AM, 10, FALSE), 1)</f>
        <v>3.6587825750554215E-4</v>
      </c>
      <c r="V6" s="7">
        <f>$B6 * IFERROR(VLOOKUP("industry|NOx|Asthma symptoms cough", US_national_yearly!$D:$AM, 30, FALSE) / VLOOKUP("industry|NOx|Asthma symptoms cough", US_national_yearly!$D:$AM, 10, FALSE), 1)</f>
        <v>3.6769130338630486E-4</v>
      </c>
      <c r="W6" s="7">
        <f>$B6 * IFERROR(VLOOKUP("industry|NOx|Asthma symptoms cough", US_national_yearly!$D:$AM, 31, FALSE) / VLOOKUP("industry|NOx|Asthma symptoms cough", US_national_yearly!$D:$AM, 10, FALSE), 1)</f>
        <v>3.6950434926706768E-4</v>
      </c>
      <c r="X6" s="7">
        <f>$B6 * IFERROR(VLOOKUP("industry|NOx|Asthma symptoms cough", US_national_yearly!$D:$AM, 32, FALSE) / VLOOKUP("industry|NOx|Asthma symptoms cough", US_national_yearly!$D:$AM, 10, FALSE), 1)</f>
        <v>3.711851822192564E-4</v>
      </c>
      <c r="Y6" s="7">
        <f>$B6 * IFERROR(VLOOKUP("industry|NOx|Asthma symptoms cough", US_national_yearly!$D:$AM, 33, FALSE) / VLOOKUP("industry|NOx|Asthma symptoms cough", US_national_yearly!$D:$AM, 10, FALSE), 1)</f>
        <v>3.7286601517144506E-4</v>
      </c>
      <c r="Z6" s="7">
        <f>$B6 * IFERROR(VLOOKUP("industry|NOx|Asthma symptoms cough", US_national_yearly!$D:$AM, 34, FALSE) / VLOOKUP("industry|NOx|Asthma symptoms cough", US_national_yearly!$D:$AM, 10, FALSE), 1)</f>
        <v>3.7454684812363378E-4</v>
      </c>
      <c r="AA6" s="7">
        <f>$B6 * IFERROR(VLOOKUP("industry|NOx|Asthma symptoms cough", US_national_yearly!$D:$AM, 35, FALSE) / VLOOKUP("industry|NOx|Asthma symptoms cough", US_national_yearly!$D:$AM, 10, FALSE), 1)</f>
        <v>3.762276810758225E-4</v>
      </c>
      <c r="AB6" s="7">
        <f>$B6 * IFERROR(VLOOKUP("industry|NOx|Asthma symptoms cough", US_national_yearly!$D:$AM, 36, FALSE) / VLOOKUP("industry|NOx|Asthma symptoms cough", US_national_yearly!$D:$AM, 10, FALSE), 1)</f>
        <v>3.7790851402801122E-4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4.3433291928949349E-4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4.4027474098977062E-4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4.4621656269004775E-4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4.5215838439032488E-4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4.5810020609060213E-4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4.6286462528764057E-4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4.6762904448467913E-4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4.6928710458643503E-4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4.7094516468819094E-4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4.7260322478994679E-4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4.7426128489170291E-4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4.7591934499345876E-4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4.7781206586770976E-4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4.7970478674196076E-4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4.8159750761621182E-4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4.8349022849046293E-4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4.8538294936471393E-4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4.8782447555723225E-4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4.9026600174975068E-4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4.92707527942269E-4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4.9514905413478743E-4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4.9759058032730564E-4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4.9985406285505156E-4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5.0211754538279736E-4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5.0438102791054316E-4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5.0664451043828896E-4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5.0890799296603477E-4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6.6358909202215099E-4</v>
      </c>
      <c r="C8" s="7">
        <f>$B8 * IFERROR(VLOOKUP("industry|NOx|Asthma symptoms wheeze", US_national_yearly!$D:$AM, 11, FALSE) / VLOOKUP("industry|NOx|Asthma symptoms wheeze", US_national_yearly!$D:$AM, 10, FALSE), 1)</f>
        <v>6.7266721597488679E-4</v>
      </c>
      <c r="D8" s="7">
        <f>$B8 * IFERROR(VLOOKUP("industry|NOx|Asthma symptoms wheeze", US_national_yearly!$D:$AM, 12, FALSE) / VLOOKUP("industry|NOx|Asthma symptoms wheeze", US_national_yearly!$D:$AM, 10, FALSE), 1)</f>
        <v>6.817453399276226E-4</v>
      </c>
      <c r="E8" s="7">
        <f>$B8 * IFERROR(VLOOKUP("industry|NOx|Asthma symptoms wheeze", US_national_yearly!$D:$AM, 13, FALSE) / VLOOKUP("industry|NOx|Asthma symptoms wheeze", US_national_yearly!$D:$AM, 10, FALSE), 1)</f>
        <v>6.9082346388035841E-4</v>
      </c>
      <c r="F8" s="7">
        <f>$B8 * IFERROR(VLOOKUP("industry|NOx|Asthma symptoms wheeze", US_national_yearly!$D:$AM, 14, FALSE) / VLOOKUP("industry|NOx|Asthma symptoms wheeze", US_national_yearly!$D:$AM, 10, FALSE), 1)</f>
        <v>6.99901587833094E-4</v>
      </c>
      <c r="G8" s="7">
        <f>$B8 * IFERROR(VLOOKUP("industry|NOx|Asthma symptoms wheeze", US_national_yearly!$D:$AM, 15, FALSE) / VLOOKUP("industry|NOx|Asthma symptoms wheeze", US_national_yearly!$D:$AM, 10, FALSE), 1)</f>
        <v>7.0718083488804332E-4</v>
      </c>
      <c r="H8" s="7">
        <f>$B8 * IFERROR(VLOOKUP("industry|NOx|Asthma symptoms wheeze", US_national_yearly!$D:$AM, 16, FALSE) / VLOOKUP("industry|NOx|Asthma symptoms wheeze", US_national_yearly!$D:$AM, 10, FALSE), 1)</f>
        <v>7.1446008194299231E-4</v>
      </c>
      <c r="I8" s="7">
        <f>$B8 * IFERROR(VLOOKUP("industry|NOx|Asthma symptoms wheeze", US_national_yearly!$D:$AM, 17, FALSE) / VLOOKUP("industry|NOx|Asthma symptoms wheeze", US_national_yearly!$D:$AM, 10, FALSE), 1)</f>
        <v>7.1699332445125652E-4</v>
      </c>
      <c r="J8" s="7">
        <f>$B8 * IFERROR(VLOOKUP("industry|NOx|Asthma symptoms wheeze", US_national_yearly!$D:$AM, 18, FALSE) / VLOOKUP("industry|NOx|Asthma symptoms wheeze", US_national_yearly!$D:$AM, 10, FALSE), 1)</f>
        <v>7.1952656695952063E-4</v>
      </c>
      <c r="K8" s="7">
        <f>$B8 * IFERROR(VLOOKUP("industry|NOx|Asthma symptoms wheeze", US_national_yearly!$D:$AM, 19, FALSE) / VLOOKUP("industry|NOx|Asthma symptoms wheeze", US_national_yearly!$D:$AM, 10, FALSE), 1)</f>
        <v>7.2205980946778484E-4</v>
      </c>
      <c r="L8" s="7">
        <f>$B8 * IFERROR(VLOOKUP("industry|NOx|Asthma symptoms wheeze", US_national_yearly!$D:$AM, 20, FALSE) / VLOOKUP("industry|NOx|Asthma symptoms wheeze", US_national_yearly!$D:$AM, 10, FALSE), 1)</f>
        <v>7.2459305197604873E-4</v>
      </c>
      <c r="M8" s="7">
        <f>$B8 * IFERROR(VLOOKUP("industry|NOx|Asthma symptoms wheeze", US_national_yearly!$D:$AM, 21, FALSE) / VLOOKUP("industry|NOx|Asthma symptoms wheeze", US_national_yearly!$D:$AM, 10, FALSE), 1)</f>
        <v>7.2712629448431294E-4</v>
      </c>
      <c r="N8" s="7">
        <f>$B8 * IFERROR(VLOOKUP("industry|NOx|Asthma symptoms wheeze", US_national_yearly!$D:$AM, 22, FALSE) / VLOOKUP("industry|NOx|Asthma symptoms wheeze", US_national_yearly!$D:$AM, 10, FALSE), 1)</f>
        <v>7.3001805996105113E-4</v>
      </c>
      <c r="O8" s="7">
        <f>$B8 * IFERROR(VLOOKUP("industry|NOx|Asthma symptoms wheeze", US_national_yearly!$D:$AM, 23, FALSE) / VLOOKUP("industry|NOx|Asthma symptoms wheeze", US_national_yearly!$D:$AM, 10, FALSE), 1)</f>
        <v>7.3290982543778931E-4</v>
      </c>
      <c r="P8" s="7">
        <f>$B8 * IFERROR(VLOOKUP("industry|NOx|Asthma symptoms wheeze", US_national_yearly!$D:$AM, 24, FALSE) / VLOOKUP("industry|NOx|Asthma symptoms wheeze", US_national_yearly!$D:$AM, 10, FALSE), 1)</f>
        <v>7.3580159091452728E-4</v>
      </c>
      <c r="Q8" s="7">
        <f>$B8 * IFERROR(VLOOKUP("industry|NOx|Asthma symptoms wheeze", US_national_yearly!$D:$AM, 25, FALSE) / VLOOKUP("industry|NOx|Asthma symptoms wheeze", US_national_yearly!$D:$AM, 10, FALSE), 1)</f>
        <v>7.3869335639126536E-4</v>
      </c>
      <c r="R8" s="7">
        <f>$B8 * IFERROR(VLOOKUP("industry|NOx|Asthma symptoms wheeze", US_national_yearly!$D:$AM, 26, FALSE) / VLOOKUP("industry|NOx|Asthma symptoms wheeze", US_national_yearly!$D:$AM, 10, FALSE), 1)</f>
        <v>7.4158512186800354E-4</v>
      </c>
      <c r="S8" s="7">
        <f>$B8 * IFERROR(VLOOKUP("industry|NOx|Asthma symptoms wheeze", US_national_yearly!$D:$AM, 27, FALSE) / VLOOKUP("industry|NOx|Asthma symptoms wheeze", US_national_yearly!$D:$AM, 10, FALSE), 1)</f>
        <v>7.4531537138266722E-4</v>
      </c>
      <c r="T8" s="7">
        <f>$B8 * IFERROR(VLOOKUP("industry|NOx|Asthma symptoms wheeze", US_national_yearly!$D:$AM, 28, FALSE) / VLOOKUP("industry|NOx|Asthma symptoms wheeze", US_national_yearly!$D:$AM, 10, FALSE), 1)</f>
        <v>7.4904562089733078E-4</v>
      </c>
      <c r="U8" s="7">
        <f>$B8 * IFERROR(VLOOKUP("industry|NOx|Asthma symptoms wheeze", US_national_yearly!$D:$AM, 29, FALSE) / VLOOKUP("industry|NOx|Asthma symptoms wheeze", US_national_yearly!$D:$AM, 10, FALSE), 1)</f>
        <v>7.5277587041199434E-4</v>
      </c>
      <c r="V8" s="7">
        <f>$B8 * IFERROR(VLOOKUP("industry|NOx|Asthma symptoms wheeze", US_national_yearly!$D:$AM, 30, FALSE) / VLOOKUP("industry|NOx|Asthma symptoms wheeze", US_national_yearly!$D:$AM, 10, FALSE), 1)</f>
        <v>7.5650611992665779E-4</v>
      </c>
      <c r="W8" s="7">
        <f>$B8 * IFERROR(VLOOKUP("industry|NOx|Asthma symptoms wheeze", US_national_yearly!$D:$AM, 31, FALSE) / VLOOKUP("industry|NOx|Asthma symptoms wheeze", US_national_yearly!$D:$AM, 10, FALSE), 1)</f>
        <v>7.6023636944132136E-4</v>
      </c>
      <c r="X8" s="7">
        <f>$B8 * IFERROR(VLOOKUP("industry|NOx|Asthma symptoms wheeze", US_national_yearly!$D:$AM, 32, FALSE) / VLOOKUP("industry|NOx|Asthma symptoms wheeze", US_national_yearly!$D:$AM, 10, FALSE), 1)</f>
        <v>7.636945975923919E-4</v>
      </c>
      <c r="Y8" s="7">
        <f>$B8 * IFERROR(VLOOKUP("industry|NOx|Asthma symptoms wheeze", US_national_yearly!$D:$AM, 33, FALSE) / VLOOKUP("industry|NOx|Asthma symptoms wheeze", US_national_yearly!$D:$AM, 10, FALSE), 1)</f>
        <v>7.6715282574346222E-4</v>
      </c>
      <c r="Z8" s="7">
        <f>$B8 * IFERROR(VLOOKUP("industry|NOx|Asthma symptoms wheeze", US_national_yearly!$D:$AM, 34, FALSE) / VLOOKUP("industry|NOx|Asthma symptoms wheeze", US_national_yearly!$D:$AM, 10, FALSE), 1)</f>
        <v>7.7061105389453254E-4</v>
      </c>
      <c r="AA8" s="7">
        <f>$B8 * IFERROR(VLOOKUP("industry|NOx|Asthma symptoms wheeze", US_national_yearly!$D:$AM, 35, FALSE) / VLOOKUP("industry|NOx|Asthma symptoms wheeze", US_national_yearly!$D:$AM, 10, FALSE), 1)</f>
        <v>7.7406928204560275E-4</v>
      </c>
      <c r="AB8" s="7">
        <f>$B8 * IFERROR(VLOOKUP("industry|NOx|Asthma symptoms wheeze", US_national_yearly!$D:$AM, 36, FALSE) / VLOOKUP("industry|NOx|Asthma symptoms wheeze", US_national_yearly!$D:$AM, 10, FALSE), 1)</f>
        <v>7.7752751019667372E-4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1.248548544619985E-5</v>
      </c>
      <c r="C12" s="7">
        <f>$B12 * IFERROR(VLOOKUP("industry|NOx|Respiratory hospital admissions", US_national_yearly!$D:$AM, 11, FALSE) / VLOOKUP("industry|NOx|Respiratory hospital admissions", US_national_yearly!$D:$AM, 10, FALSE), 1)</f>
        <v>1.2799162205194589E-5</v>
      </c>
      <c r="D12" s="7">
        <f>$B12 * IFERROR(VLOOKUP("industry|NOx|Respiratory hospital admissions", US_national_yearly!$D:$AM, 12, FALSE) / VLOOKUP("industry|NOx|Respiratory hospital admissions", US_national_yearly!$D:$AM, 10, FALSE), 1)</f>
        <v>1.3112838964189327E-5</v>
      </c>
      <c r="E12" s="7">
        <f>$B12 * IFERROR(VLOOKUP("industry|NOx|Respiratory hospital admissions", US_national_yearly!$D:$AM, 13, FALSE) / VLOOKUP("industry|NOx|Respiratory hospital admissions", US_national_yearly!$D:$AM, 10, FALSE), 1)</f>
        <v>1.3426515723184069E-5</v>
      </c>
      <c r="F12" s="7">
        <f>$B12 * IFERROR(VLOOKUP("industry|NOx|Respiratory hospital admissions", US_national_yearly!$D:$AM, 14, FALSE) / VLOOKUP("industry|NOx|Respiratory hospital admissions", US_national_yearly!$D:$AM, 10, FALSE), 1)</f>
        <v>1.3740192482178805E-5</v>
      </c>
      <c r="G12" s="7">
        <f>$B12 * IFERROR(VLOOKUP("industry|NOx|Respiratory hospital admissions", US_national_yearly!$D:$AM, 15, FALSE) / VLOOKUP("industry|NOx|Respiratory hospital admissions", US_national_yearly!$D:$AM, 10, FALSE), 1)</f>
        <v>1.404023825049887E-5</v>
      </c>
      <c r="H12" s="7">
        <f>$B12 * IFERROR(VLOOKUP("industry|NOx|Respiratory hospital admissions", US_national_yearly!$D:$AM, 16, FALSE) / VLOOKUP("industry|NOx|Respiratory hospital admissions", US_national_yearly!$D:$AM, 10, FALSE), 1)</f>
        <v>1.4340284018818936E-5</v>
      </c>
      <c r="I12" s="7">
        <f>$B12 * IFERROR(VLOOKUP("industry|NOx|Respiratory hospital admissions", US_national_yearly!$D:$AM, 17, FALSE) / VLOOKUP("industry|NOx|Respiratory hospital admissions", US_national_yearly!$D:$AM, 10, FALSE), 1)</f>
        <v>1.4595813734394271E-5</v>
      </c>
      <c r="J12" s="7">
        <f>$B12 * IFERROR(VLOOKUP("industry|NOx|Respiratory hospital admissions", US_national_yearly!$D:$AM, 18, FALSE) / VLOOKUP("industry|NOx|Respiratory hospital admissions", US_national_yearly!$D:$AM, 10, FALSE), 1)</f>
        <v>1.4851343449969606E-5</v>
      </c>
      <c r="K12" s="7">
        <f>$B12 * IFERROR(VLOOKUP("industry|NOx|Respiratory hospital admissions", US_national_yearly!$D:$AM, 19, FALSE) / VLOOKUP("industry|NOx|Respiratory hospital admissions", US_national_yearly!$D:$AM, 10, FALSE), 1)</f>
        <v>1.5106873165544945E-5</v>
      </c>
      <c r="L12" s="7">
        <f>$B12 * IFERROR(VLOOKUP("industry|NOx|Respiratory hospital admissions", US_national_yearly!$D:$AM, 20, FALSE) / VLOOKUP("industry|NOx|Respiratory hospital admissions", US_national_yearly!$D:$AM, 10, FALSE), 1)</f>
        <v>1.5362402881120283E-5</v>
      </c>
      <c r="M12" s="7">
        <f>$B12 * IFERROR(VLOOKUP("industry|NOx|Respiratory hospital admissions", US_national_yearly!$D:$AM, 21, FALSE) / VLOOKUP("industry|NOx|Respiratory hospital admissions", US_national_yearly!$D:$AM, 10, FALSE), 1)</f>
        <v>1.5617932596695618E-5</v>
      </c>
      <c r="N12" s="7">
        <f>$B12 * IFERROR(VLOOKUP("industry|NOx|Respiratory hospital admissions", US_national_yearly!$D:$AM, 22, FALSE) / VLOOKUP("industry|NOx|Respiratory hospital admissions", US_national_yearly!$D:$AM, 10, FALSE), 1)</f>
        <v>1.5789192953222377E-5</v>
      </c>
      <c r="O12" s="7">
        <f>$B12 * IFERROR(VLOOKUP("industry|NOx|Respiratory hospital admissions", US_national_yearly!$D:$AM, 23, FALSE) / VLOOKUP("industry|NOx|Respiratory hospital admissions", US_national_yearly!$D:$AM, 10, FALSE), 1)</f>
        <v>1.5960453309749133E-5</v>
      </c>
      <c r="P12" s="7">
        <f>$B12 * IFERROR(VLOOKUP("industry|NOx|Respiratory hospital admissions", US_national_yearly!$D:$AM, 24, FALSE) / VLOOKUP("industry|NOx|Respiratory hospital admissions", US_national_yearly!$D:$AM, 10, FALSE), 1)</f>
        <v>1.6131713666275888E-5</v>
      </c>
      <c r="Q12" s="7">
        <f>$B12 * IFERROR(VLOOKUP("industry|NOx|Respiratory hospital admissions", US_national_yearly!$D:$AM, 25, FALSE) / VLOOKUP("industry|NOx|Respiratory hospital admissions", US_national_yearly!$D:$AM, 10, FALSE), 1)</f>
        <v>1.6302974022802644E-5</v>
      </c>
      <c r="R12" s="7">
        <f>$B12 * IFERROR(VLOOKUP("industry|NOx|Respiratory hospital admissions", US_national_yearly!$D:$AM, 26, FALSE) / VLOOKUP("industry|NOx|Respiratory hospital admissions", US_national_yearly!$D:$AM, 10, FALSE), 1)</f>
        <v>1.6474234379329403E-5</v>
      </c>
      <c r="S12" s="7">
        <f>$B12 * IFERROR(VLOOKUP("industry|NOx|Respiratory hospital admissions", US_national_yearly!$D:$AM, 27, FALSE) / VLOOKUP("industry|NOx|Respiratory hospital admissions", US_national_yearly!$D:$AM, 10, FALSE), 1)</f>
        <v>1.6567213872604982E-5</v>
      </c>
      <c r="T12" s="7">
        <f>$B12 * IFERROR(VLOOKUP("industry|NOx|Respiratory hospital admissions", US_national_yearly!$D:$AM, 28, FALSE) / VLOOKUP("industry|NOx|Respiratory hospital admissions", US_national_yearly!$D:$AM, 10, FALSE), 1)</f>
        <v>1.6660193365880565E-5</v>
      </c>
      <c r="U12" s="7">
        <f>$B12 * IFERROR(VLOOKUP("industry|NOx|Respiratory hospital admissions", US_national_yearly!$D:$AM, 29, FALSE) / VLOOKUP("industry|NOx|Respiratory hospital admissions", US_national_yearly!$D:$AM, 10, FALSE), 1)</f>
        <v>1.6753172859156141E-5</v>
      </c>
      <c r="V12" s="7">
        <f>$B12 * IFERROR(VLOOKUP("industry|NOx|Respiratory hospital admissions", US_national_yearly!$D:$AM, 30, FALSE) / VLOOKUP("industry|NOx|Respiratory hospital admissions", US_national_yearly!$D:$AM, 10, FALSE), 1)</f>
        <v>1.6846152352431721E-5</v>
      </c>
      <c r="W12" s="7">
        <f>$B12 * IFERROR(VLOOKUP("industry|NOx|Respiratory hospital admissions", US_national_yearly!$D:$AM, 31, FALSE) / VLOOKUP("industry|NOx|Respiratory hospital admissions", US_national_yearly!$D:$AM, 10, FALSE), 1)</f>
        <v>1.6939131845707303E-5</v>
      </c>
      <c r="X12" s="7">
        <f>$B12 * IFERROR(VLOOKUP("industry|NOx|Respiratory hospital admissions", US_national_yearly!$D:$AM, 32, FALSE) / VLOOKUP("industry|NOx|Respiratory hospital admissions", US_national_yearly!$D:$AM, 10, FALSE), 1)</f>
        <v>1.7003962876065484E-5</v>
      </c>
      <c r="Y12" s="7">
        <f>$B12 * IFERROR(VLOOKUP("industry|NOx|Respiratory hospital admissions", US_national_yearly!$D:$AM, 33, FALSE) / VLOOKUP("industry|NOx|Respiratory hospital admissions", US_national_yearly!$D:$AM, 10, FALSE), 1)</f>
        <v>1.7068793906423668E-5</v>
      </c>
      <c r="Z12" s="7">
        <f>$B12 * IFERROR(VLOOKUP("industry|NOx|Respiratory hospital admissions", US_national_yearly!$D:$AM, 34, FALSE) / VLOOKUP("industry|NOx|Respiratory hospital admissions", US_national_yearly!$D:$AM, 10, FALSE), 1)</f>
        <v>1.7133624936781852E-5</v>
      </c>
      <c r="AA12" s="7">
        <f>$B12 * IFERROR(VLOOKUP("industry|NOx|Respiratory hospital admissions", US_national_yearly!$D:$AM, 35, FALSE) / VLOOKUP("industry|NOx|Respiratory hospital admissions", US_national_yearly!$D:$AM, 10, FALSE), 1)</f>
        <v>1.7198455967140036E-5</v>
      </c>
      <c r="AB12" s="7">
        <f>$B12 * IFERROR(VLOOKUP("industry|NOx|Respiratory hospital admissions", US_national_yearly!$D:$AM, 36, FALSE) / VLOOKUP("industry|NOx|Respiratory hospital admissions", US_national_yearly!$D:$AM, 10, FALSE), 1)</f>
        <v>1.7263286997498216E-5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5.5196891160446365E-5</v>
      </c>
      <c r="C13" s="7">
        <f>$B13 * IFERROR(VLOOKUP("industry|NOx|Non-fatal heart attacks", US_national_yearly!$D:$AM, 11, FALSE) / VLOOKUP("industry|NOx|Non-fatal heart attacks", US_national_yearly!$D:$AM, 10, FALSE), 1)</f>
        <v>5.6773919234980025E-5</v>
      </c>
      <c r="D13" s="7">
        <f>$B13 * IFERROR(VLOOKUP("industry|NOx|Non-fatal heart attacks", US_national_yearly!$D:$AM, 12, FALSE) / VLOOKUP("industry|NOx|Non-fatal heart attacks", US_national_yearly!$D:$AM, 10, FALSE), 1)</f>
        <v>5.8350947309513678E-5</v>
      </c>
      <c r="E13" s="7">
        <f>$B13 * IFERROR(VLOOKUP("industry|NOx|Non-fatal heart attacks", US_national_yearly!$D:$AM, 13, FALSE) / VLOOKUP("industry|NOx|Non-fatal heart attacks", US_national_yearly!$D:$AM, 10, FALSE), 1)</f>
        <v>5.9927975384047338E-5</v>
      </c>
      <c r="F13" s="7">
        <f>$B13 * IFERROR(VLOOKUP("industry|NOx|Non-fatal heart attacks", US_national_yearly!$D:$AM, 14, FALSE) / VLOOKUP("industry|NOx|Non-fatal heart attacks", US_national_yearly!$D:$AM, 10, FALSE), 1)</f>
        <v>6.1505003458580998E-5</v>
      </c>
      <c r="G13" s="7">
        <f>$B13 * IFERROR(VLOOKUP("industry|NOx|Non-fatal heart attacks", US_national_yearly!$D:$AM, 15, FALSE) / VLOOKUP("industry|NOx|Non-fatal heart attacks", US_national_yearly!$D:$AM, 10, FALSE), 1)</f>
        <v>6.2979984104787943E-5</v>
      </c>
      <c r="H13" s="7">
        <f>$B13 * IFERROR(VLOOKUP("industry|NOx|Non-fatal heart attacks", US_national_yearly!$D:$AM, 16, FALSE) / VLOOKUP("industry|NOx|Non-fatal heart attacks", US_national_yearly!$D:$AM, 10, FALSE), 1)</f>
        <v>6.4454964750994875E-5</v>
      </c>
      <c r="I13" s="7">
        <f>$B13 * IFERROR(VLOOKUP("industry|NOx|Non-fatal heart attacks", US_national_yearly!$D:$AM, 17, FALSE) / VLOOKUP("industry|NOx|Non-fatal heart attacks", US_national_yearly!$D:$AM, 10, FALSE), 1)</f>
        <v>6.5621519393409061E-5</v>
      </c>
      <c r="J13" s="7">
        <f>$B13 * IFERROR(VLOOKUP("industry|NOx|Non-fatal heart attacks", US_national_yearly!$D:$AM, 18, FALSE) / VLOOKUP("industry|NOx|Non-fatal heart attacks", US_national_yearly!$D:$AM, 10, FALSE), 1)</f>
        <v>6.678807403582326E-5</v>
      </c>
      <c r="K13" s="7">
        <f>$B13 * IFERROR(VLOOKUP("industry|NOx|Non-fatal heart attacks", US_national_yearly!$D:$AM, 19, FALSE) / VLOOKUP("industry|NOx|Non-fatal heart attacks", US_national_yearly!$D:$AM, 10, FALSE), 1)</f>
        <v>6.7954628678237419E-5</v>
      </c>
      <c r="L13" s="7">
        <f>$B13 * IFERROR(VLOOKUP("industry|NOx|Non-fatal heart attacks", US_national_yearly!$D:$AM, 20, FALSE) / VLOOKUP("industry|NOx|Non-fatal heart attacks", US_national_yearly!$D:$AM, 10, FALSE), 1)</f>
        <v>6.9121183320651646E-5</v>
      </c>
      <c r="M13" s="7">
        <f>$B13 * IFERROR(VLOOKUP("industry|NOx|Non-fatal heart attacks", US_national_yearly!$D:$AM, 21, FALSE) / VLOOKUP("industry|NOx|Non-fatal heart attacks", US_national_yearly!$D:$AM, 10, FALSE), 1)</f>
        <v>7.0287737963065845E-5</v>
      </c>
      <c r="N13" s="7">
        <f>$B13 * IFERROR(VLOOKUP("industry|NOx|Non-fatal heart attacks", US_national_yearly!$D:$AM, 22, FALSE) / VLOOKUP("industry|NOx|Non-fatal heart attacks", US_national_yearly!$D:$AM, 10, FALSE), 1)</f>
        <v>7.0990531145843152E-5</v>
      </c>
      <c r="O13" s="7">
        <f>$B13 * IFERROR(VLOOKUP("industry|NOx|Non-fatal heart attacks", US_national_yearly!$D:$AM, 23, FALSE) / VLOOKUP("industry|NOx|Non-fatal heart attacks", US_national_yearly!$D:$AM, 10, FALSE), 1)</f>
        <v>7.1693324328620431E-5</v>
      </c>
      <c r="P13" s="7">
        <f>$B13 * IFERROR(VLOOKUP("industry|NOx|Non-fatal heart attacks", US_national_yearly!$D:$AM, 24, FALSE) / VLOOKUP("industry|NOx|Non-fatal heart attacks", US_national_yearly!$D:$AM, 10, FALSE), 1)</f>
        <v>7.2396117511397724E-5</v>
      </c>
      <c r="Q13" s="7">
        <f>$B13 * IFERROR(VLOOKUP("industry|NOx|Non-fatal heart attacks", US_national_yearly!$D:$AM, 25, FALSE) / VLOOKUP("industry|NOx|Non-fatal heart attacks", US_national_yearly!$D:$AM, 10, FALSE), 1)</f>
        <v>7.3098910694175003E-5</v>
      </c>
      <c r="R13" s="7">
        <f>$B13 * IFERROR(VLOOKUP("industry|NOx|Non-fatal heart attacks", US_national_yearly!$D:$AM, 26, FALSE) / VLOOKUP("industry|NOx|Non-fatal heart attacks", US_national_yearly!$D:$AM, 10, FALSE), 1)</f>
        <v>7.3801703876952296E-5</v>
      </c>
      <c r="S13" s="7">
        <f>$B13 * IFERROR(VLOOKUP("industry|NOx|Non-fatal heart attacks", US_national_yearly!$D:$AM, 27, FALSE) / VLOOKUP("industry|NOx|Non-fatal heart attacks", US_national_yearly!$D:$AM, 10, FALSE), 1)</f>
        <v>7.4124159407416355E-5</v>
      </c>
      <c r="T13" s="7">
        <f>$B13 * IFERROR(VLOOKUP("industry|NOx|Non-fatal heart attacks", US_national_yearly!$D:$AM, 28, FALSE) / VLOOKUP("industry|NOx|Non-fatal heart attacks", US_national_yearly!$D:$AM, 10, FALSE), 1)</f>
        <v>7.44466149378804E-5</v>
      </c>
      <c r="U13" s="7">
        <f>$B13 * IFERROR(VLOOKUP("industry|NOx|Non-fatal heart attacks", US_national_yearly!$D:$AM, 29, FALSE) / VLOOKUP("industry|NOx|Non-fatal heart attacks", US_national_yearly!$D:$AM, 10, FALSE), 1)</f>
        <v>7.4769070468344432E-5</v>
      </c>
      <c r="V13" s="7">
        <f>$B13 * IFERROR(VLOOKUP("industry|NOx|Non-fatal heart attacks", US_national_yearly!$D:$AM, 30, FALSE) / VLOOKUP("industry|NOx|Non-fatal heart attacks", US_national_yearly!$D:$AM, 10, FALSE), 1)</f>
        <v>7.5091525998808491E-5</v>
      </c>
      <c r="W13" s="7">
        <f>$B13 * IFERROR(VLOOKUP("industry|NOx|Non-fatal heart attacks", US_national_yearly!$D:$AM, 31, FALSE) / VLOOKUP("industry|NOx|Non-fatal heart attacks", US_national_yearly!$D:$AM, 10, FALSE), 1)</f>
        <v>7.5413981529272536E-5</v>
      </c>
      <c r="X13" s="7">
        <f>$B13 * IFERROR(VLOOKUP("industry|NOx|Non-fatal heart attacks", US_national_yearly!$D:$AM, 32, FALSE) / VLOOKUP("industry|NOx|Non-fatal heart attacks", US_national_yearly!$D:$AM, 10, FALSE), 1)</f>
        <v>7.5631603685845977E-5</v>
      </c>
      <c r="Y13" s="7">
        <f>$B13 * IFERROR(VLOOKUP("industry|NOx|Non-fatal heart attacks", US_national_yearly!$D:$AM, 33, FALSE) / VLOOKUP("industry|NOx|Non-fatal heart attacks", US_national_yearly!$D:$AM, 10, FALSE), 1)</f>
        <v>7.5849225842419403E-5</v>
      </c>
      <c r="Z13" s="7">
        <f>$B13 * IFERROR(VLOOKUP("industry|NOx|Non-fatal heart attacks", US_national_yearly!$D:$AM, 34, FALSE) / VLOOKUP("industry|NOx|Non-fatal heart attacks", US_national_yearly!$D:$AM, 10, FALSE), 1)</f>
        <v>7.6066847998992843E-5</v>
      </c>
      <c r="AA13" s="7">
        <f>$B13 * IFERROR(VLOOKUP("industry|NOx|Non-fatal heart attacks", US_national_yearly!$D:$AM, 35, FALSE) / VLOOKUP("industry|NOx|Non-fatal heart attacks", US_national_yearly!$D:$AM, 10, FALSE), 1)</f>
        <v>7.6284470155566284E-5</v>
      </c>
      <c r="AB13" s="7">
        <f>$B13 * IFERROR(VLOOKUP("industry|NOx|Non-fatal heart attacks", US_national_yearly!$D:$AM, 36, FALSE) / VLOOKUP("industry|NOx|Non-fatal heart attacks", US_national_yearly!$D:$AM, 10, FALSE), 1)</f>
        <v>7.650209231213971E-5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3.7460981159006104E-2</v>
      </c>
      <c r="C14" s="7">
        <f>$B14 * IFERROR(VLOOKUP("industry|NOx|Minor restricted activity days", US_national_yearly!$D:$AM, 11, FALSE) / VLOOKUP("industry|NOx|Minor restricted activity days", US_national_yearly!$D:$AM, 10, FALSE), 1)</f>
        <v>3.7516482493251659E-2</v>
      </c>
      <c r="D14" s="7">
        <f>$B14 * IFERROR(VLOOKUP("industry|NOx|Minor restricted activity days", US_national_yearly!$D:$AM, 12, FALSE) / VLOOKUP("industry|NOx|Minor restricted activity days", US_national_yearly!$D:$AM, 10, FALSE), 1)</f>
        <v>3.7571983827497213E-2</v>
      </c>
      <c r="E14" s="7">
        <f>$B14 * IFERROR(VLOOKUP("industry|NOx|Minor restricted activity days", US_national_yearly!$D:$AM, 13, FALSE) / VLOOKUP("industry|NOx|Minor restricted activity days", US_national_yearly!$D:$AM, 10, FALSE), 1)</f>
        <v>3.7627485161742767E-2</v>
      </c>
      <c r="F14" s="7">
        <f>$B14 * IFERROR(VLOOKUP("industry|NOx|Minor restricted activity days", US_national_yearly!$D:$AM, 14, FALSE) / VLOOKUP("industry|NOx|Minor restricted activity days", US_national_yearly!$D:$AM, 10, FALSE), 1)</f>
        <v>3.7682986495988315E-2</v>
      </c>
      <c r="G14" s="7">
        <f>$B14 * IFERROR(VLOOKUP("industry|NOx|Minor restricted activity days", US_national_yearly!$D:$AM, 15, FALSE) / VLOOKUP("industry|NOx|Minor restricted activity days", US_national_yearly!$D:$AM, 10, FALSE), 1)</f>
        <v>3.7784021484594671E-2</v>
      </c>
      <c r="H14" s="7">
        <f>$B14 * IFERROR(VLOOKUP("industry|NOx|Minor restricted activity days", US_national_yearly!$D:$AM, 16, FALSE) / VLOOKUP("industry|NOx|Minor restricted activity days", US_national_yearly!$D:$AM, 10, FALSE), 1)</f>
        <v>3.7885056473201027E-2</v>
      </c>
      <c r="I14" s="7">
        <f>$B14 * IFERROR(VLOOKUP("industry|NOx|Minor restricted activity days", US_national_yearly!$D:$AM, 17, FALSE) / VLOOKUP("industry|NOx|Minor restricted activity days", US_national_yearly!$D:$AM, 10, FALSE), 1)</f>
        <v>3.808395823035457E-2</v>
      </c>
      <c r="J14" s="7">
        <f>$B14 * IFERROR(VLOOKUP("industry|NOx|Minor restricted activity days", US_national_yearly!$D:$AM, 18, FALSE) / VLOOKUP("industry|NOx|Minor restricted activity days", US_national_yearly!$D:$AM, 10, FALSE), 1)</f>
        <v>3.8282859987508099E-2</v>
      </c>
      <c r="K14" s="7">
        <f>$B14 * IFERROR(VLOOKUP("industry|NOx|Minor restricted activity days", US_national_yearly!$D:$AM, 19, FALSE) / VLOOKUP("industry|NOx|Minor restricted activity days", US_national_yearly!$D:$AM, 10, FALSE), 1)</f>
        <v>3.848176174466162E-2</v>
      </c>
      <c r="L14" s="7">
        <f>$B14 * IFERROR(VLOOKUP("industry|NOx|Minor restricted activity days", US_national_yearly!$D:$AM, 20, FALSE) / VLOOKUP("industry|NOx|Minor restricted activity days", US_national_yearly!$D:$AM, 10, FALSE), 1)</f>
        <v>3.8680663501815163E-2</v>
      </c>
      <c r="M14" s="7">
        <f>$B14 * IFERROR(VLOOKUP("industry|NOx|Minor restricted activity days", US_national_yearly!$D:$AM, 21, FALSE) / VLOOKUP("industry|NOx|Minor restricted activity days", US_national_yearly!$D:$AM, 10, FALSE), 1)</f>
        <v>3.8879565258968692E-2</v>
      </c>
      <c r="N14" s="7">
        <f>$B14 * IFERROR(VLOOKUP("industry|NOx|Minor restricted activity days", US_national_yearly!$D:$AM, 22, FALSE) / VLOOKUP("industry|NOx|Minor restricted activity days", US_national_yearly!$D:$AM, 10, FALSE), 1)</f>
        <v>3.9165997086263157E-2</v>
      </c>
      <c r="O14" s="7">
        <f>$B14 * IFERROR(VLOOKUP("industry|NOx|Minor restricted activity days", US_national_yearly!$D:$AM, 23, FALSE) / VLOOKUP("industry|NOx|Minor restricted activity days", US_national_yearly!$D:$AM, 10, FALSE), 1)</f>
        <v>3.9452428913557623E-2</v>
      </c>
      <c r="P14" s="7">
        <f>$B14 * IFERROR(VLOOKUP("industry|NOx|Minor restricted activity days", US_national_yearly!$D:$AM, 24, FALSE) / VLOOKUP("industry|NOx|Minor restricted activity days", US_national_yearly!$D:$AM, 10, FALSE), 1)</f>
        <v>3.9738860740852089E-2</v>
      </c>
      <c r="Q14" s="7">
        <f>$B14 * IFERROR(VLOOKUP("industry|NOx|Minor restricted activity days", US_national_yearly!$D:$AM, 25, FALSE) / VLOOKUP("industry|NOx|Minor restricted activity days", US_national_yearly!$D:$AM, 10, FALSE), 1)</f>
        <v>4.0025292568146555E-2</v>
      </c>
      <c r="R14" s="7">
        <f>$B14 * IFERROR(VLOOKUP("industry|NOx|Minor restricted activity days", US_national_yearly!$D:$AM, 26, FALSE) / VLOOKUP("industry|NOx|Minor restricted activity days", US_national_yearly!$D:$AM, 10, FALSE), 1)</f>
        <v>4.031172439544102E-2</v>
      </c>
      <c r="S14" s="7">
        <f>$B14 * IFERROR(VLOOKUP("industry|NOx|Minor restricted activity days", US_national_yearly!$D:$AM, 27, FALSE) / VLOOKUP("industry|NOx|Minor restricted activity days", US_national_yearly!$D:$AM, 10, FALSE), 1)</f>
        <v>4.0598462886338178E-2</v>
      </c>
      <c r="T14" s="7">
        <f>$B14 * IFERROR(VLOOKUP("industry|NOx|Minor restricted activity days", US_national_yearly!$D:$AM, 28, FALSE) / VLOOKUP("industry|NOx|Minor restricted activity days", US_national_yearly!$D:$AM, 10, FALSE), 1)</f>
        <v>4.0885201377235343E-2</v>
      </c>
      <c r="U14" s="7">
        <f>$B14 * IFERROR(VLOOKUP("industry|NOx|Minor restricted activity days", US_national_yearly!$D:$AM, 29, FALSE) / VLOOKUP("industry|NOx|Minor restricted activity days", US_national_yearly!$D:$AM, 10, FALSE), 1)</f>
        <v>4.1171939868132508E-2</v>
      </c>
      <c r="V14" s="7">
        <f>$B14 * IFERROR(VLOOKUP("industry|NOx|Minor restricted activity days", US_national_yearly!$D:$AM, 30, FALSE) / VLOOKUP("industry|NOx|Minor restricted activity days", US_national_yearly!$D:$AM, 10, FALSE), 1)</f>
        <v>4.1458678359029673E-2</v>
      </c>
      <c r="W14" s="7">
        <f>$B14 * IFERROR(VLOOKUP("industry|NOx|Minor restricted activity days", US_national_yearly!$D:$AM, 31, FALSE) / VLOOKUP("industry|NOx|Minor restricted activity days", US_national_yearly!$D:$AM, 10, FALSE), 1)</f>
        <v>4.1745416849926831E-2</v>
      </c>
      <c r="X14" s="7">
        <f>$B14 * IFERROR(VLOOKUP("industry|NOx|Minor restricted activity days", US_national_yearly!$D:$AM, 32, FALSE) / VLOOKUP("industry|NOx|Minor restricted activity days", US_national_yearly!$D:$AM, 10, FALSE), 1)</f>
        <v>4.1987505972985305E-2</v>
      </c>
      <c r="Y14" s="7">
        <f>$B14 * IFERROR(VLOOKUP("industry|NOx|Minor restricted activity days", US_national_yearly!$D:$AM, 33, FALSE) / VLOOKUP("industry|NOx|Minor restricted activity days", US_national_yearly!$D:$AM, 10, FALSE), 1)</f>
        <v>4.2229595096043765E-2</v>
      </c>
      <c r="Z14" s="7">
        <f>$B14 * IFERROR(VLOOKUP("industry|NOx|Minor restricted activity days", US_national_yearly!$D:$AM, 34, FALSE) / VLOOKUP("industry|NOx|Minor restricted activity days", US_national_yearly!$D:$AM, 10, FALSE), 1)</f>
        <v>4.2471684219102225E-2</v>
      </c>
      <c r="AA14" s="7">
        <f>$B14 * IFERROR(VLOOKUP("industry|NOx|Minor restricted activity days", US_national_yearly!$D:$AM, 35, FALSE) / VLOOKUP("industry|NOx|Minor restricted activity days", US_national_yearly!$D:$AM, 10, FALSE), 1)</f>
        <v>4.2713773342160699E-2</v>
      </c>
      <c r="AB14" s="7">
        <f>$B14 * IFERROR(VLOOKUP("industry|NOx|Minor restricted activity days", US_national_yearly!$D:$AM, 36, FALSE) / VLOOKUP("industry|NOx|Minor restricted activity days", US_national_yearly!$D:$AM, 10, FALSE), 1)</f>
        <v>4.2955862465219166E-2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6.3203092335970034E-3</v>
      </c>
      <c r="C15" s="7">
        <f>$B15 * IFERROR(VLOOKUP("industry|NOx|Work loss days", US_national_yearly!$D:$AM, 11, FALSE) / VLOOKUP("industry|NOx|Work loss days", US_national_yearly!$D:$AM, 10, FALSE), 1)</f>
        <v>6.3340033014904294E-3</v>
      </c>
      <c r="D15" s="7">
        <f>$B15 * IFERROR(VLOOKUP("industry|NOx|Work loss days", US_national_yearly!$D:$AM, 12, FALSE) / VLOOKUP("industry|NOx|Work loss days", US_national_yearly!$D:$AM, 10, FALSE), 1)</f>
        <v>6.3476973693838536E-3</v>
      </c>
      <c r="E15" s="7">
        <f>$B15 * IFERROR(VLOOKUP("industry|NOx|Work loss days", US_national_yearly!$D:$AM, 13, FALSE) / VLOOKUP("industry|NOx|Work loss days", US_national_yearly!$D:$AM, 10, FALSE), 1)</f>
        <v>6.3613914372772796E-3</v>
      </c>
      <c r="F15" s="7">
        <f>$B15 * IFERROR(VLOOKUP("industry|NOx|Work loss days", US_national_yearly!$D:$AM, 14, FALSE) / VLOOKUP("industry|NOx|Work loss days", US_national_yearly!$D:$AM, 10, FALSE), 1)</f>
        <v>6.3750855051707047E-3</v>
      </c>
      <c r="G15" s="7">
        <f>$B15 * IFERROR(VLOOKUP("industry|NOx|Work loss days", US_national_yearly!$D:$AM, 15, FALSE) / VLOOKUP("industry|NOx|Work loss days", US_national_yearly!$D:$AM, 10, FALSE), 1)</f>
        <v>6.3951164919266584E-3</v>
      </c>
      <c r="H15" s="7">
        <f>$B15 * IFERROR(VLOOKUP("industry|NOx|Work loss days", US_national_yearly!$D:$AM, 16, FALSE) / VLOOKUP("industry|NOx|Work loss days", US_national_yearly!$D:$AM, 10, FALSE), 1)</f>
        <v>6.4151474786826113E-3</v>
      </c>
      <c r="I15" s="7">
        <f>$B15 * IFERROR(VLOOKUP("industry|NOx|Work loss days", US_national_yearly!$D:$AM, 17, FALSE) / VLOOKUP("industry|NOx|Work loss days", US_national_yearly!$D:$AM, 10, FALSE), 1)</f>
        <v>6.4476927532121329E-3</v>
      </c>
      <c r="J15" s="7">
        <f>$B15 * IFERROR(VLOOKUP("industry|NOx|Work loss days", US_national_yearly!$D:$AM, 18, FALSE) / VLOOKUP("industry|NOx|Work loss days", US_national_yearly!$D:$AM, 10, FALSE), 1)</f>
        <v>6.4802380277416529E-3</v>
      </c>
      <c r="K15" s="7">
        <f>$B15 * IFERROR(VLOOKUP("industry|NOx|Work loss days", US_national_yearly!$D:$AM, 19, FALSE) / VLOOKUP("industry|NOx|Work loss days", US_national_yearly!$D:$AM, 10, FALSE), 1)</f>
        <v>6.5127833022711745E-3</v>
      </c>
      <c r="L15" s="7">
        <f>$B15 * IFERROR(VLOOKUP("industry|NOx|Work loss days", US_national_yearly!$D:$AM, 20, FALSE) / VLOOKUP("industry|NOx|Work loss days", US_national_yearly!$D:$AM, 10, FALSE), 1)</f>
        <v>6.5453285768006944E-3</v>
      </c>
      <c r="M15" s="7">
        <f>$B15 * IFERROR(VLOOKUP("industry|NOx|Work loss days", US_national_yearly!$D:$AM, 21, FALSE) / VLOOKUP("industry|NOx|Work loss days", US_national_yearly!$D:$AM, 10, FALSE), 1)</f>
        <v>6.5778738513302152E-3</v>
      </c>
      <c r="N15" s="7">
        <f>$B15 * IFERROR(VLOOKUP("industry|NOx|Work loss days", US_national_yearly!$D:$AM, 22, FALSE) / VLOOKUP("industry|NOx|Work loss days", US_national_yearly!$D:$AM, 10, FALSE), 1)</f>
        <v>6.6204356899030124E-3</v>
      </c>
      <c r="O15" s="7">
        <f>$B15 * IFERROR(VLOOKUP("industry|NOx|Work loss days", US_national_yearly!$D:$AM, 23, FALSE) / VLOOKUP("industry|NOx|Work loss days", US_national_yearly!$D:$AM, 10, FALSE), 1)</f>
        <v>6.6629975284758112E-3</v>
      </c>
      <c r="P15" s="7">
        <f>$B15 * IFERROR(VLOOKUP("industry|NOx|Work loss days", US_national_yearly!$D:$AM, 24, FALSE) / VLOOKUP("industry|NOx|Work loss days", US_national_yearly!$D:$AM, 10, FALSE), 1)</f>
        <v>6.7055593670486083E-3</v>
      </c>
      <c r="Q15" s="7">
        <f>$B15 * IFERROR(VLOOKUP("industry|NOx|Work loss days", US_national_yearly!$D:$AM, 25, FALSE) / VLOOKUP("industry|NOx|Work loss days", US_national_yearly!$D:$AM, 10, FALSE), 1)</f>
        <v>6.7481212056214055E-3</v>
      </c>
      <c r="R15" s="7">
        <f>$B15 * IFERROR(VLOOKUP("industry|NOx|Work loss days", US_national_yearly!$D:$AM, 26, FALSE) / VLOOKUP("industry|NOx|Work loss days", US_national_yearly!$D:$AM, 10, FALSE), 1)</f>
        <v>6.7906830441942043E-3</v>
      </c>
      <c r="S15" s="7">
        <f>$B15 * IFERROR(VLOOKUP("industry|NOx|Work loss days", US_national_yearly!$D:$AM, 27, FALSE) / VLOOKUP("industry|NOx|Work loss days", US_national_yearly!$D:$AM, 10, FALSE), 1)</f>
        <v>6.8382646016668285E-3</v>
      </c>
      <c r="T15" s="7">
        <f>$B15 * IFERROR(VLOOKUP("industry|NOx|Work loss days", US_national_yearly!$D:$AM, 28, FALSE) / VLOOKUP("industry|NOx|Work loss days", US_national_yearly!$D:$AM, 10, FALSE), 1)</f>
        <v>6.8858461591394535E-3</v>
      </c>
      <c r="U15" s="7">
        <f>$B15 * IFERROR(VLOOKUP("industry|NOx|Work loss days", US_national_yearly!$D:$AM, 29, FALSE) / VLOOKUP("industry|NOx|Work loss days", US_national_yearly!$D:$AM, 10, FALSE), 1)</f>
        <v>6.9334277166120794E-3</v>
      </c>
      <c r="V15" s="7">
        <f>$B15 * IFERROR(VLOOKUP("industry|NOx|Work loss days", US_national_yearly!$D:$AM, 30, FALSE) / VLOOKUP("industry|NOx|Work loss days", US_national_yearly!$D:$AM, 10, FALSE), 1)</f>
        <v>6.9810092740847035E-3</v>
      </c>
      <c r="W15" s="7">
        <f>$B15 * IFERROR(VLOOKUP("industry|NOx|Work loss days", US_national_yearly!$D:$AM, 31, FALSE) / VLOOKUP("industry|NOx|Work loss days", US_national_yearly!$D:$AM, 10, FALSE), 1)</f>
        <v>7.0285908315573294E-3</v>
      </c>
      <c r="X15" s="7">
        <f>$B15 * IFERROR(VLOOKUP("industry|NOx|Work loss days", US_national_yearly!$D:$AM, 32, FALSE) / VLOOKUP("industry|NOx|Work loss days", US_national_yearly!$D:$AM, 10, FALSE), 1)</f>
        <v>7.0698694920714794E-3</v>
      </c>
      <c r="Y15" s="7">
        <f>$B15 * IFERROR(VLOOKUP("industry|NOx|Work loss days", US_national_yearly!$D:$AM, 33, FALSE) / VLOOKUP("industry|NOx|Work loss days", US_national_yearly!$D:$AM, 10, FALSE), 1)</f>
        <v>7.1111481525856293E-3</v>
      </c>
      <c r="Z15" s="7">
        <f>$B15 * IFERROR(VLOOKUP("industry|NOx|Work loss days", US_national_yearly!$D:$AM, 34, FALSE) / VLOOKUP("industry|NOx|Work loss days", US_national_yearly!$D:$AM, 10, FALSE), 1)</f>
        <v>7.1524268130997784E-3</v>
      </c>
      <c r="AA15" s="7">
        <f>$B15 * IFERROR(VLOOKUP("industry|NOx|Work loss days", US_national_yearly!$D:$AM, 35, FALSE) / VLOOKUP("industry|NOx|Work loss days", US_national_yearly!$D:$AM, 10, FALSE), 1)</f>
        <v>7.1937054736139283E-3</v>
      </c>
      <c r="AB15" s="7">
        <f>$B15 * IFERROR(VLOOKUP("industry|NOx|Work loss days", US_national_yearly!$D:$AM, 36, FALSE) / VLOOKUP("industry|NOx|Work loss days", US_national_yearly!$D:$AM, 10, FALSE), 1)</f>
        <v>7.2349841341280783E-3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1.0531806091907286E-5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1.0841048050836957E-5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1.115029000976663E-5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1.1459531968696302E-5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1.1768773927625977E-5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1.206268495334896E-5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1.2356595979071947E-5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1.260438424030627E-5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1.2852172501540594E-5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1.3099960762774915E-5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1.3347749024009237E-5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1.3595537285243558E-5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1.3750662933438631E-5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1.3905788581633698E-5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1.4060914229828768E-5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1.4216039878023839E-5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1.4371165526218907E-5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1.4442728038677184E-5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1.4514290551135462E-5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1.458585306359374E-5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1.4657415576052017E-5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1.4728978088510293E-5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1.4769410407917297E-5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1.48098427273243E-5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1.4850275046731301E-5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1.4890707366138301E-5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1.4931139685545306E-5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1.3132057427895545E-3</v>
      </c>
      <c r="C2" s="7">
        <f>$B2 * IFERROR(VLOOKUP("industry|SO2|Premature mortality", US_national_yearly!$D:$AM, 11, FALSE) / VLOOKUP("industry|SO2|Premature mortality", US_national_yearly!$D:$AM, 10, FALSE), 1)</f>
        <v>1.3298531242107489E-3</v>
      </c>
      <c r="D2" s="7">
        <f>$B2 * IFERROR(VLOOKUP("industry|SO2|Premature mortality", US_national_yearly!$D:$AM, 12, FALSE) / VLOOKUP("industry|SO2|Premature mortality", US_national_yearly!$D:$AM, 10, FALSE), 1)</f>
        <v>1.346500505631943E-3</v>
      </c>
      <c r="E2" s="7">
        <f>$B2 * IFERROR(VLOOKUP("industry|SO2|Premature mortality", US_national_yearly!$D:$AM, 13, FALSE) / VLOOKUP("industry|SO2|Premature mortality", US_national_yearly!$D:$AM, 10, FALSE), 1)</f>
        <v>1.3631478870531372E-3</v>
      </c>
      <c r="F2" s="7">
        <f>$B2 * IFERROR(VLOOKUP("industry|SO2|Premature mortality", US_national_yearly!$D:$AM, 14, FALSE) / VLOOKUP("industry|SO2|Premature mortality", US_national_yearly!$D:$AM, 10, FALSE), 1)</f>
        <v>1.3797952684743316E-3</v>
      </c>
      <c r="G2" s="7">
        <f>$B2 * IFERROR(VLOOKUP("industry|SO2|Premature mortality", US_national_yearly!$D:$AM, 15, FALSE) / VLOOKUP("industry|SO2|Premature mortality", US_national_yearly!$D:$AM, 10, FALSE), 1)</f>
        <v>1.4118824904580454E-3</v>
      </c>
      <c r="H2" s="7">
        <f>$B2 * IFERROR(VLOOKUP("industry|SO2|Premature mortality", US_national_yearly!$D:$AM, 16, FALSE) / VLOOKUP("industry|SO2|Premature mortality", US_national_yearly!$D:$AM, 10, FALSE), 1)</f>
        <v>1.443969712441759E-3</v>
      </c>
      <c r="I2" s="7">
        <f>$B2 * IFERROR(VLOOKUP("industry|SO2|Premature mortality", US_national_yearly!$D:$AM, 17, FALSE) / VLOOKUP("industry|SO2|Premature mortality", US_national_yearly!$D:$AM, 10, FALSE), 1)</f>
        <v>1.4652169316799447E-3</v>
      </c>
      <c r="J2" s="7">
        <f>$B2 * IFERROR(VLOOKUP("industry|SO2|Premature mortality", US_national_yearly!$D:$AM, 18, FALSE) / VLOOKUP("industry|SO2|Premature mortality", US_national_yearly!$D:$AM, 10, FALSE), 1)</f>
        <v>1.48646415091813E-3</v>
      </c>
      <c r="K2" s="7">
        <f>$B2 * IFERROR(VLOOKUP("industry|SO2|Premature mortality", US_national_yearly!$D:$AM, 19, FALSE) / VLOOKUP("industry|SO2|Premature mortality", US_national_yearly!$D:$AM, 10, FALSE), 1)</f>
        <v>1.5077113701563152E-3</v>
      </c>
      <c r="L2" s="7">
        <f>$B2 * IFERROR(VLOOKUP("industry|SO2|Premature mortality", US_national_yearly!$D:$AM, 20, FALSE) / VLOOKUP("industry|SO2|Premature mortality", US_national_yearly!$D:$AM, 10, FALSE), 1)</f>
        <v>1.5289585893945008E-3</v>
      </c>
      <c r="M2" s="7">
        <f>$B2 * IFERROR(VLOOKUP("industry|SO2|Premature mortality", US_national_yearly!$D:$AM, 21, FALSE) / VLOOKUP("industry|SO2|Premature mortality", US_national_yearly!$D:$AM, 10, FALSE), 1)</f>
        <v>1.550205808632686E-3</v>
      </c>
      <c r="N2" s="7">
        <f>$B2 * IFERROR(VLOOKUP("industry|SO2|Premature mortality", US_national_yearly!$D:$AM, 22, FALSE) / VLOOKUP("industry|SO2|Premature mortality", US_national_yearly!$D:$AM, 10, FALSE), 1)</f>
        <v>1.5668261858447186E-3</v>
      </c>
      <c r="O2" s="7">
        <f>$B2 * IFERROR(VLOOKUP("industry|SO2|Premature mortality", US_national_yearly!$D:$AM, 23, FALSE) / VLOOKUP("industry|SO2|Premature mortality", US_national_yearly!$D:$AM, 10, FALSE), 1)</f>
        <v>1.5834465630567513E-3</v>
      </c>
      <c r="P2" s="7">
        <f>$B2 * IFERROR(VLOOKUP("industry|SO2|Premature mortality", US_national_yearly!$D:$AM, 24, FALSE) / VLOOKUP("industry|SO2|Premature mortality", US_national_yearly!$D:$AM, 10, FALSE), 1)</f>
        <v>1.6000669402687839E-3</v>
      </c>
      <c r="Q2" s="7">
        <f>$B2 * IFERROR(VLOOKUP("industry|SO2|Premature mortality", US_national_yearly!$D:$AM, 25, FALSE) / VLOOKUP("industry|SO2|Premature mortality", US_national_yearly!$D:$AM, 10, FALSE), 1)</f>
        <v>1.6166873174808165E-3</v>
      </c>
      <c r="R2" s="7">
        <f>$B2 * IFERROR(VLOOKUP("industry|SO2|Premature mortality", US_national_yearly!$D:$AM, 26, FALSE) / VLOOKUP("industry|SO2|Premature mortality", US_national_yearly!$D:$AM, 10, FALSE), 1)</f>
        <v>1.6333076946928489E-3</v>
      </c>
      <c r="S2" s="7">
        <f>$B2 * IFERROR(VLOOKUP("industry|SO2|Premature mortality", US_national_yearly!$D:$AM, 27, FALSE) / VLOOKUP("industry|SO2|Premature mortality", US_national_yearly!$D:$AM, 10, FALSE), 1)</f>
        <v>1.6422817827594024E-3</v>
      </c>
      <c r="T2" s="7">
        <f>$B2 * IFERROR(VLOOKUP("industry|SO2|Premature mortality", US_national_yearly!$D:$AM, 28, FALSE) / VLOOKUP("industry|SO2|Premature mortality", US_national_yearly!$D:$AM, 10, FALSE), 1)</f>
        <v>1.651255870825956E-3</v>
      </c>
      <c r="U2" s="7">
        <f>$B2 * IFERROR(VLOOKUP("industry|SO2|Premature mortality", US_national_yearly!$D:$AM, 29, FALSE) / VLOOKUP("industry|SO2|Premature mortality", US_national_yearly!$D:$AM, 10, FALSE), 1)</f>
        <v>1.6602299588925099E-3</v>
      </c>
      <c r="V2" s="7">
        <f>$B2 * IFERROR(VLOOKUP("industry|SO2|Premature mortality", US_national_yearly!$D:$AM, 30, FALSE) / VLOOKUP("industry|SO2|Premature mortality", US_national_yearly!$D:$AM, 10, FALSE), 1)</f>
        <v>1.6692040469590635E-3</v>
      </c>
      <c r="W2" s="7">
        <f>$B2 * IFERROR(VLOOKUP("industry|SO2|Premature mortality", US_national_yearly!$D:$AM, 31, FALSE) / VLOOKUP("industry|SO2|Premature mortality", US_national_yearly!$D:$AM, 10, FALSE), 1)</f>
        <v>1.6781781350256172E-3</v>
      </c>
      <c r="X2" s="7">
        <f>$B2 * IFERROR(VLOOKUP("industry|SO2|Premature mortality", US_national_yearly!$D:$AM, 32, FALSE) / VLOOKUP("industry|SO2|Premature mortality", US_national_yearly!$D:$AM, 10, FALSE), 1)</f>
        <v>1.6801096326120285E-3</v>
      </c>
      <c r="Y2" s="7">
        <f>$B2 * IFERROR(VLOOKUP("industry|SO2|Premature mortality", US_national_yearly!$D:$AM, 33, FALSE) / VLOOKUP("industry|SO2|Premature mortality", US_national_yearly!$D:$AM, 10, FALSE), 1)</f>
        <v>1.6820411301984399E-3</v>
      </c>
      <c r="Z2" s="7">
        <f>$B2 * IFERROR(VLOOKUP("industry|SO2|Premature mortality", US_national_yearly!$D:$AM, 34, FALSE) / VLOOKUP("industry|SO2|Premature mortality", US_national_yearly!$D:$AM, 10, FALSE), 1)</f>
        <v>1.6839726277848516E-3</v>
      </c>
      <c r="AA2" s="7">
        <f>$B2 * IFERROR(VLOOKUP("industry|SO2|Premature mortality", US_national_yearly!$D:$AM, 35, FALSE) / VLOOKUP("industry|SO2|Premature mortality", US_national_yearly!$D:$AM, 10, FALSE), 1)</f>
        <v>1.6859041253712631E-3</v>
      </c>
      <c r="AB2" s="7">
        <f>$B2 * IFERROR(VLOOKUP("industry|SO2|Premature mortality", US_national_yearly!$D:$AM, 36, FALSE) / VLOOKUP("industry|SO2|Premature mortality", US_national_yearly!$D:$AM, 10, FALSE), 1)</f>
        <v>1.6878356229576745E-3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2.6258430697799579E-6</v>
      </c>
      <c r="C3" s="7">
        <f>$B3 * IFERROR(VLOOKUP("industry|SO2|Infant mortality", US_national_yearly!$D:$AM, 11, FALSE) / VLOOKUP("industry|SO2|Infant mortality", US_national_yearly!$D:$AM, 10, FALSE), 1)</f>
        <v>2.6032527393541321E-6</v>
      </c>
      <c r="D3" s="7">
        <f>$B3 * IFERROR(VLOOKUP("industry|SO2|Infant mortality", US_national_yearly!$D:$AM, 12, FALSE) / VLOOKUP("industry|SO2|Infant mortality", US_national_yearly!$D:$AM, 10, FALSE), 1)</f>
        <v>2.5806624089283063E-6</v>
      </c>
      <c r="E3" s="7">
        <f>$B3 * IFERROR(VLOOKUP("industry|SO2|Infant mortality", US_national_yearly!$D:$AM, 13, FALSE) / VLOOKUP("industry|SO2|Infant mortality", US_national_yearly!$D:$AM, 10, FALSE), 1)</f>
        <v>2.5580720785024805E-6</v>
      </c>
      <c r="F3" s="7">
        <f>$B3 * IFERROR(VLOOKUP("industry|SO2|Infant mortality", US_national_yearly!$D:$AM, 14, FALSE) / VLOOKUP("industry|SO2|Infant mortality", US_national_yearly!$D:$AM, 10, FALSE), 1)</f>
        <v>2.5354817480766548E-6</v>
      </c>
      <c r="G3" s="7">
        <f>$B3 * IFERROR(VLOOKUP("industry|SO2|Infant mortality", US_national_yearly!$D:$AM, 15, FALSE) / VLOOKUP("industry|SO2|Infant mortality", US_national_yearly!$D:$AM, 10, FALSE), 1)</f>
        <v>1.6878660066854806E-6</v>
      </c>
      <c r="H3" s="7">
        <f>$B3 * IFERROR(VLOOKUP("industry|SO2|Infant mortality", US_national_yearly!$D:$AM, 16, FALSE) / VLOOKUP("industry|SO2|Infant mortality", US_national_yearly!$D:$AM, 10, FALSE), 1)</f>
        <v>8.402502652943065E-7</v>
      </c>
      <c r="I3" s="7">
        <f>$B3 * IFERROR(VLOOKUP("industry|SO2|Infant mortality", US_national_yearly!$D:$AM, 17, FALSE) / VLOOKUP("industry|SO2|Infant mortality", US_national_yearly!$D:$AM, 10, FALSE), 1)</f>
        <v>8.3491474777524803E-7</v>
      </c>
      <c r="J3" s="7">
        <f>$B3 * IFERROR(VLOOKUP("industry|SO2|Infant mortality", US_national_yearly!$D:$AM, 18, FALSE) / VLOOKUP("industry|SO2|Infant mortality", US_national_yearly!$D:$AM, 10, FALSE), 1)</f>
        <v>8.2957923025618967E-7</v>
      </c>
      <c r="K3" s="7">
        <f>$B3 * IFERROR(VLOOKUP("industry|SO2|Infant mortality", US_national_yearly!$D:$AM, 19, FALSE) / VLOOKUP("industry|SO2|Infant mortality", US_national_yearly!$D:$AM, 10, FALSE), 1)</f>
        <v>8.2424371273713121E-7</v>
      </c>
      <c r="L3" s="7">
        <f>$B3 * IFERROR(VLOOKUP("industry|SO2|Infant mortality", US_national_yearly!$D:$AM, 20, FALSE) / VLOOKUP("industry|SO2|Infant mortality", US_national_yearly!$D:$AM, 10, FALSE), 1)</f>
        <v>8.1890819521807285E-7</v>
      </c>
      <c r="M3" s="7">
        <f>$B3 * IFERROR(VLOOKUP("industry|SO2|Infant mortality", US_national_yearly!$D:$AM, 21, FALSE) / VLOOKUP("industry|SO2|Infant mortality", US_national_yearly!$D:$AM, 10, FALSE), 1)</f>
        <v>8.1357267769901438E-7</v>
      </c>
      <c r="N3" s="7">
        <f>$B3 * IFERROR(VLOOKUP("industry|SO2|Infant mortality", US_national_yearly!$D:$AM, 22, FALSE) / VLOOKUP("industry|SO2|Infant mortality", US_national_yearly!$D:$AM, 10, FALSE), 1)</f>
        <v>8.1019100162945311E-7</v>
      </c>
      <c r="O3" s="7">
        <f>$B3 * IFERROR(VLOOKUP("industry|SO2|Infant mortality", US_national_yearly!$D:$AM, 23, FALSE) / VLOOKUP("industry|SO2|Infant mortality", US_national_yearly!$D:$AM, 10, FALSE), 1)</f>
        <v>8.0680932555989174E-7</v>
      </c>
      <c r="P3" s="7">
        <f>$B3 * IFERROR(VLOOKUP("industry|SO2|Infant mortality", US_national_yearly!$D:$AM, 24, FALSE) / VLOOKUP("industry|SO2|Infant mortality", US_national_yearly!$D:$AM, 10, FALSE), 1)</f>
        <v>8.0342764949033036E-7</v>
      </c>
      <c r="Q3" s="7">
        <f>$B3 * IFERROR(VLOOKUP("industry|SO2|Infant mortality", US_national_yearly!$D:$AM, 25, FALSE) / VLOOKUP("industry|SO2|Infant mortality", US_national_yearly!$D:$AM, 10, FALSE), 1)</f>
        <v>8.0004597342076899E-7</v>
      </c>
      <c r="R3" s="7">
        <f>$B3 * IFERROR(VLOOKUP("industry|SO2|Infant mortality", US_national_yearly!$D:$AM, 26, FALSE) / VLOOKUP("industry|SO2|Infant mortality", US_national_yearly!$D:$AM, 10, FALSE), 1)</f>
        <v>7.9666429735120761E-7</v>
      </c>
      <c r="S3" s="7">
        <f>$B3 * IFERROR(VLOOKUP("industry|SO2|Infant mortality", US_national_yearly!$D:$AM, 27, FALSE) / VLOOKUP("industry|SO2|Infant mortality", US_national_yearly!$D:$AM, 10, FALSE), 1)</f>
        <v>7.92455840059731E-7</v>
      </c>
      <c r="T3" s="7">
        <f>$B3 * IFERROR(VLOOKUP("industry|SO2|Infant mortality", US_national_yearly!$D:$AM, 28, FALSE) / VLOOKUP("industry|SO2|Infant mortality", US_national_yearly!$D:$AM, 10, FALSE), 1)</f>
        <v>7.882473827682544E-7</v>
      </c>
      <c r="U3" s="7">
        <f>$B3 * IFERROR(VLOOKUP("industry|SO2|Infant mortality", US_national_yearly!$D:$AM, 29, FALSE) / VLOOKUP("industry|SO2|Infant mortality", US_national_yearly!$D:$AM, 10, FALSE), 1)</f>
        <v>7.8403892547677779E-7</v>
      </c>
      <c r="V3" s="7">
        <f>$B3 * IFERROR(VLOOKUP("industry|SO2|Infant mortality", US_national_yearly!$D:$AM, 30, FALSE) / VLOOKUP("industry|SO2|Infant mortality", US_national_yearly!$D:$AM, 10, FALSE), 1)</f>
        <v>7.7983046818530118E-7</v>
      </c>
      <c r="W3" s="7">
        <f>$B3 * IFERROR(VLOOKUP("industry|SO2|Infant mortality", US_national_yearly!$D:$AM, 31, FALSE) / VLOOKUP("industry|SO2|Infant mortality", US_national_yearly!$D:$AM, 10, FALSE), 1)</f>
        <v>7.7562201089382457E-7</v>
      </c>
      <c r="X3" s="7">
        <f>$B3 * IFERROR(VLOOKUP("industry|SO2|Infant mortality", US_national_yearly!$D:$AM, 32, FALSE) / VLOOKUP("industry|SO2|Infant mortality", US_national_yearly!$D:$AM, 10, FALSE), 1)</f>
        <v>7.7104867371041052E-7</v>
      </c>
      <c r="Y3" s="7">
        <f>$B3 * IFERROR(VLOOKUP("industry|SO2|Infant mortality", US_national_yearly!$D:$AM, 33, FALSE) / VLOOKUP("industry|SO2|Infant mortality", US_national_yearly!$D:$AM, 10, FALSE), 1)</f>
        <v>7.6647533652699657E-7</v>
      </c>
      <c r="Z3" s="7">
        <f>$B3 * IFERROR(VLOOKUP("industry|SO2|Infant mortality", US_national_yearly!$D:$AM, 34, FALSE) / VLOOKUP("industry|SO2|Infant mortality", US_national_yearly!$D:$AM, 10, FALSE), 1)</f>
        <v>7.6190199934358262E-7</v>
      </c>
      <c r="AA3" s="7">
        <f>$B3 * IFERROR(VLOOKUP("industry|SO2|Infant mortality", US_national_yearly!$D:$AM, 35, FALSE) / VLOOKUP("industry|SO2|Infant mortality", US_national_yearly!$D:$AM, 10, FALSE), 1)</f>
        <v>7.5732866216016857E-7</v>
      </c>
      <c r="AB3" s="7">
        <f>$B3 * IFERROR(VLOOKUP("industry|SO2|Infant mortality", US_national_yearly!$D:$AM, 36, FALSE) / VLOOKUP("industry|SO2|Infant mortality", US_national_yearly!$D:$AM, 10, FALSE), 1)</f>
        <v>7.5275532497675462E-7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3.3009275339253895E-3</v>
      </c>
      <c r="C6" s="7">
        <f>$B6 * IFERROR(VLOOKUP("industry|SO2|Asthma symptoms cough", US_national_yearly!$D:$AM, 11, FALSE) / VLOOKUP("industry|SO2|Asthma symptoms cough", US_national_yearly!$D:$AM, 10, FALSE), 1)</f>
        <v>3.3009275339253895E-3</v>
      </c>
      <c r="D6" s="7">
        <f>$B6 * IFERROR(VLOOKUP("industry|SO2|Asthma symptoms cough", US_national_yearly!$D:$AM, 12, FALSE) / VLOOKUP("industry|SO2|Asthma symptoms cough", US_national_yearly!$D:$AM, 10, FALSE), 1)</f>
        <v>3.3009275339253895E-3</v>
      </c>
      <c r="E6" s="7">
        <f>$B6 * IFERROR(VLOOKUP("industry|SO2|Asthma symptoms cough", US_national_yearly!$D:$AM, 13, FALSE) / VLOOKUP("industry|SO2|Asthma symptoms cough", US_national_yearly!$D:$AM, 10, FALSE), 1)</f>
        <v>3.3009275339253895E-3</v>
      </c>
      <c r="F6" s="7">
        <f>$B6 * IFERROR(VLOOKUP("industry|SO2|Asthma symptoms cough", US_national_yearly!$D:$AM, 14, FALSE) / VLOOKUP("industry|SO2|Asthma symptoms cough", US_national_yearly!$D:$AM, 10, FALSE), 1)</f>
        <v>3.3009275339253895E-3</v>
      </c>
      <c r="G6" s="7">
        <f>$B6 * IFERROR(VLOOKUP("industry|SO2|Asthma symptoms cough", US_national_yearly!$D:$AM, 15, FALSE) / VLOOKUP("industry|SO2|Asthma symptoms cough", US_national_yearly!$D:$AM, 10, FALSE), 1)</f>
        <v>3.3009275339253895E-3</v>
      </c>
      <c r="H6" s="7">
        <f>$B6 * IFERROR(VLOOKUP("industry|SO2|Asthma symptoms cough", US_national_yearly!$D:$AM, 16, FALSE) / VLOOKUP("industry|SO2|Asthma symptoms cough", US_national_yearly!$D:$AM, 10, FALSE), 1)</f>
        <v>3.3009275339253895E-3</v>
      </c>
      <c r="I6" s="7">
        <f>$B6 * IFERROR(VLOOKUP("industry|SO2|Asthma symptoms cough", US_national_yearly!$D:$AM, 17, FALSE) / VLOOKUP("industry|SO2|Asthma symptoms cough", US_national_yearly!$D:$AM, 10, FALSE), 1)</f>
        <v>3.3009275339253895E-3</v>
      </c>
      <c r="J6" s="7">
        <f>$B6 * IFERROR(VLOOKUP("industry|SO2|Asthma symptoms cough", US_national_yearly!$D:$AM, 18, FALSE) / VLOOKUP("industry|SO2|Asthma symptoms cough", US_national_yearly!$D:$AM, 10, FALSE), 1)</f>
        <v>3.3009275339253895E-3</v>
      </c>
      <c r="K6" s="7">
        <f>$B6 * IFERROR(VLOOKUP("industry|SO2|Asthma symptoms cough", US_national_yearly!$D:$AM, 19, FALSE) / VLOOKUP("industry|SO2|Asthma symptoms cough", US_national_yearly!$D:$AM, 10, FALSE), 1)</f>
        <v>3.3009275339253895E-3</v>
      </c>
      <c r="L6" s="7">
        <f>$B6 * IFERROR(VLOOKUP("industry|SO2|Asthma symptoms cough", US_national_yearly!$D:$AM, 20, FALSE) / VLOOKUP("industry|SO2|Asthma symptoms cough", US_national_yearly!$D:$AM, 10, FALSE), 1)</f>
        <v>3.3009275339253895E-3</v>
      </c>
      <c r="M6" s="7">
        <f>$B6 * IFERROR(VLOOKUP("industry|SO2|Asthma symptoms cough", US_national_yearly!$D:$AM, 21, FALSE) / VLOOKUP("industry|SO2|Asthma symptoms cough", US_national_yearly!$D:$AM, 10, FALSE), 1)</f>
        <v>3.3009275339253895E-3</v>
      </c>
      <c r="N6" s="7">
        <f>$B6 * IFERROR(VLOOKUP("industry|SO2|Asthma symptoms cough", US_national_yearly!$D:$AM, 22, FALSE) / VLOOKUP("industry|SO2|Asthma symptoms cough", US_national_yearly!$D:$AM, 10, FALSE), 1)</f>
        <v>3.3009275339253895E-3</v>
      </c>
      <c r="O6" s="7">
        <f>$B6 * IFERROR(VLOOKUP("industry|SO2|Asthma symptoms cough", US_national_yearly!$D:$AM, 23, FALSE) / VLOOKUP("industry|SO2|Asthma symptoms cough", US_national_yearly!$D:$AM, 10, FALSE), 1)</f>
        <v>3.3009275339253895E-3</v>
      </c>
      <c r="P6" s="7">
        <f>$B6 * IFERROR(VLOOKUP("industry|SO2|Asthma symptoms cough", US_national_yearly!$D:$AM, 24, FALSE) / VLOOKUP("industry|SO2|Asthma symptoms cough", US_national_yearly!$D:$AM, 10, FALSE), 1)</f>
        <v>3.3009275339253895E-3</v>
      </c>
      <c r="Q6" s="7">
        <f>$B6 * IFERROR(VLOOKUP("industry|SO2|Asthma symptoms cough", US_national_yearly!$D:$AM, 25, FALSE) / VLOOKUP("industry|SO2|Asthma symptoms cough", US_national_yearly!$D:$AM, 10, FALSE), 1)</f>
        <v>3.3009275339253895E-3</v>
      </c>
      <c r="R6" s="7">
        <f>$B6 * IFERROR(VLOOKUP("industry|SO2|Asthma symptoms cough", US_national_yearly!$D:$AM, 26, FALSE) / VLOOKUP("industry|SO2|Asthma symptoms cough", US_national_yearly!$D:$AM, 10, FALSE), 1)</f>
        <v>3.3009275339253895E-3</v>
      </c>
      <c r="S6" s="7">
        <f>$B6 * IFERROR(VLOOKUP("industry|SO2|Asthma symptoms cough", US_national_yearly!$D:$AM, 27, FALSE) / VLOOKUP("industry|SO2|Asthma symptoms cough", US_national_yearly!$D:$AM, 10, FALSE), 1)</f>
        <v>3.3009275339253895E-3</v>
      </c>
      <c r="T6" s="7">
        <f>$B6 * IFERROR(VLOOKUP("industry|SO2|Asthma symptoms cough", US_national_yearly!$D:$AM, 28, FALSE) / VLOOKUP("industry|SO2|Asthma symptoms cough", US_national_yearly!$D:$AM, 10, FALSE), 1)</f>
        <v>3.3009275339253895E-3</v>
      </c>
      <c r="U6" s="7">
        <f>$B6 * IFERROR(VLOOKUP("industry|SO2|Asthma symptoms cough", US_national_yearly!$D:$AM, 29, FALSE) / VLOOKUP("industry|SO2|Asthma symptoms cough", US_national_yearly!$D:$AM, 10, FALSE), 1)</f>
        <v>3.3009275339253895E-3</v>
      </c>
      <c r="V6" s="7">
        <f>$B6 * IFERROR(VLOOKUP("industry|SO2|Asthma symptoms cough", US_national_yearly!$D:$AM, 30, FALSE) / VLOOKUP("industry|SO2|Asthma symptoms cough", US_national_yearly!$D:$AM, 10, FALSE), 1)</f>
        <v>3.3009275339253895E-3</v>
      </c>
      <c r="W6" s="7">
        <f>$B6 * IFERROR(VLOOKUP("industry|SO2|Asthma symptoms cough", US_national_yearly!$D:$AM, 31, FALSE) / VLOOKUP("industry|SO2|Asthma symptoms cough", US_national_yearly!$D:$AM, 10, FALSE), 1)</f>
        <v>3.3009275339253895E-3</v>
      </c>
      <c r="X6" s="7">
        <f>$B6 * IFERROR(VLOOKUP("industry|SO2|Asthma symptoms cough", US_national_yearly!$D:$AM, 32, FALSE) / VLOOKUP("industry|SO2|Asthma symptoms cough", US_national_yearly!$D:$AM, 10, FALSE), 1)</f>
        <v>3.3009275339253895E-3</v>
      </c>
      <c r="Y6" s="7">
        <f>$B6 * IFERROR(VLOOKUP("industry|SO2|Asthma symptoms cough", US_national_yearly!$D:$AM, 33, FALSE) / VLOOKUP("industry|SO2|Asthma symptoms cough", US_national_yearly!$D:$AM, 10, FALSE), 1)</f>
        <v>3.3009275339253895E-3</v>
      </c>
      <c r="Z6" s="7">
        <f>$B6 * IFERROR(VLOOKUP("industry|SO2|Asthma symptoms cough", US_national_yearly!$D:$AM, 34, FALSE) / VLOOKUP("industry|SO2|Asthma symptoms cough", US_national_yearly!$D:$AM, 10, FALSE), 1)</f>
        <v>3.3009275339253895E-3</v>
      </c>
      <c r="AA6" s="7">
        <f>$B6 * IFERROR(VLOOKUP("industry|SO2|Asthma symptoms cough", US_national_yearly!$D:$AM, 35, FALSE) / VLOOKUP("industry|SO2|Asthma symptoms cough", US_national_yearly!$D:$AM, 10, FALSE), 1)</f>
        <v>3.3009275339253895E-3</v>
      </c>
      <c r="AB6" s="7">
        <f>$B6 * IFERROR(VLOOKUP("industry|SO2|Asthma symptoms cough", US_national_yearly!$D:$AM, 36, FALSE) / VLOOKUP("industry|SO2|Asthma symptoms cough", US_national_yearly!$D:$AM, 10, FALSE), 1)</f>
        <v>3.3009275339253895E-3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4.4451693971032562E-3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4.4451693971032562E-3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4.4451693971032562E-3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4.4451693971032562E-3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4.4451693971032562E-3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4.4451693971032562E-3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4.4451693971032562E-3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4.4451693971032562E-3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4.4451693971032562E-3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4.4451693971032562E-3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4.4451693971032562E-3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4.4451693971032562E-3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4.4451693971032562E-3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4.4451693971032562E-3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4.4451693971032562E-3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4.4451693971032562E-3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4.4451693971032562E-3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4.4451693971032562E-3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4.4451693971032562E-3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4.4451693971032562E-3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4.4451693971032562E-3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4.4451693971032562E-3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4.4451693971032562E-3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4.4451693971032562E-3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4.4451693971032562E-3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4.4451693971032562E-3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4.4451693971032562E-3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6.7914958430236767E-3</v>
      </c>
      <c r="C8" s="7">
        <f>$B8 * IFERROR(VLOOKUP("industry|SO2|Asthma symptoms wheeze", US_national_yearly!$D:$AM, 11, FALSE) / VLOOKUP("industry|SO2|Asthma symptoms wheeze", US_national_yearly!$D:$AM, 10, FALSE), 1)</f>
        <v>6.7914958430236767E-3</v>
      </c>
      <c r="D8" s="7">
        <f>$B8 * IFERROR(VLOOKUP("industry|SO2|Asthma symptoms wheeze", US_national_yearly!$D:$AM, 12, FALSE) / VLOOKUP("industry|SO2|Asthma symptoms wheeze", US_national_yearly!$D:$AM, 10, FALSE), 1)</f>
        <v>6.7914958430236767E-3</v>
      </c>
      <c r="E8" s="7">
        <f>$B8 * IFERROR(VLOOKUP("industry|SO2|Asthma symptoms wheeze", US_national_yearly!$D:$AM, 13, FALSE) / VLOOKUP("industry|SO2|Asthma symptoms wheeze", US_national_yearly!$D:$AM, 10, FALSE), 1)</f>
        <v>6.7914958430236767E-3</v>
      </c>
      <c r="F8" s="7">
        <f>$B8 * IFERROR(VLOOKUP("industry|SO2|Asthma symptoms wheeze", US_national_yearly!$D:$AM, 14, FALSE) / VLOOKUP("industry|SO2|Asthma symptoms wheeze", US_national_yearly!$D:$AM, 10, FALSE), 1)</f>
        <v>6.7914958430236767E-3</v>
      </c>
      <c r="G8" s="7">
        <f>$B8 * IFERROR(VLOOKUP("industry|SO2|Asthma symptoms wheeze", US_national_yearly!$D:$AM, 15, FALSE) / VLOOKUP("industry|SO2|Asthma symptoms wheeze", US_national_yearly!$D:$AM, 10, FALSE), 1)</f>
        <v>6.7914958430236767E-3</v>
      </c>
      <c r="H8" s="7">
        <f>$B8 * IFERROR(VLOOKUP("industry|SO2|Asthma symptoms wheeze", US_national_yearly!$D:$AM, 16, FALSE) / VLOOKUP("industry|SO2|Asthma symptoms wheeze", US_national_yearly!$D:$AM, 10, FALSE), 1)</f>
        <v>6.7914958430236767E-3</v>
      </c>
      <c r="I8" s="7">
        <f>$B8 * IFERROR(VLOOKUP("industry|SO2|Asthma symptoms wheeze", US_national_yearly!$D:$AM, 17, FALSE) / VLOOKUP("industry|SO2|Asthma symptoms wheeze", US_national_yearly!$D:$AM, 10, FALSE), 1)</f>
        <v>6.7914958430236767E-3</v>
      </c>
      <c r="J8" s="7">
        <f>$B8 * IFERROR(VLOOKUP("industry|SO2|Asthma symptoms wheeze", US_national_yearly!$D:$AM, 18, FALSE) / VLOOKUP("industry|SO2|Asthma symptoms wheeze", US_national_yearly!$D:$AM, 10, FALSE), 1)</f>
        <v>6.7914958430236767E-3</v>
      </c>
      <c r="K8" s="7">
        <f>$B8 * IFERROR(VLOOKUP("industry|SO2|Asthma symptoms wheeze", US_national_yearly!$D:$AM, 19, FALSE) / VLOOKUP("industry|SO2|Asthma symptoms wheeze", US_national_yearly!$D:$AM, 10, FALSE), 1)</f>
        <v>6.7914958430236767E-3</v>
      </c>
      <c r="L8" s="7">
        <f>$B8 * IFERROR(VLOOKUP("industry|SO2|Asthma symptoms wheeze", US_national_yearly!$D:$AM, 20, FALSE) / VLOOKUP("industry|SO2|Asthma symptoms wheeze", US_national_yearly!$D:$AM, 10, FALSE), 1)</f>
        <v>6.7914958430236767E-3</v>
      </c>
      <c r="M8" s="7">
        <f>$B8 * IFERROR(VLOOKUP("industry|SO2|Asthma symptoms wheeze", US_national_yearly!$D:$AM, 21, FALSE) / VLOOKUP("industry|SO2|Asthma symptoms wheeze", US_national_yearly!$D:$AM, 10, FALSE), 1)</f>
        <v>6.7914958430236767E-3</v>
      </c>
      <c r="N8" s="7">
        <f>$B8 * IFERROR(VLOOKUP("industry|SO2|Asthma symptoms wheeze", US_national_yearly!$D:$AM, 22, FALSE) / VLOOKUP("industry|SO2|Asthma symptoms wheeze", US_national_yearly!$D:$AM, 10, FALSE), 1)</f>
        <v>6.7914958430236767E-3</v>
      </c>
      <c r="O8" s="7">
        <f>$B8 * IFERROR(VLOOKUP("industry|SO2|Asthma symptoms wheeze", US_national_yearly!$D:$AM, 23, FALSE) / VLOOKUP("industry|SO2|Asthma symptoms wheeze", US_national_yearly!$D:$AM, 10, FALSE), 1)</f>
        <v>6.7914958430236767E-3</v>
      </c>
      <c r="P8" s="7">
        <f>$B8 * IFERROR(VLOOKUP("industry|SO2|Asthma symptoms wheeze", US_national_yearly!$D:$AM, 24, FALSE) / VLOOKUP("industry|SO2|Asthma symptoms wheeze", US_national_yearly!$D:$AM, 10, FALSE), 1)</f>
        <v>6.7914958430236767E-3</v>
      </c>
      <c r="Q8" s="7">
        <f>$B8 * IFERROR(VLOOKUP("industry|SO2|Asthma symptoms wheeze", US_national_yearly!$D:$AM, 25, FALSE) / VLOOKUP("industry|SO2|Asthma symptoms wheeze", US_national_yearly!$D:$AM, 10, FALSE), 1)</f>
        <v>6.7914958430236767E-3</v>
      </c>
      <c r="R8" s="7">
        <f>$B8 * IFERROR(VLOOKUP("industry|SO2|Asthma symptoms wheeze", US_national_yearly!$D:$AM, 26, FALSE) / VLOOKUP("industry|SO2|Asthma symptoms wheeze", US_national_yearly!$D:$AM, 10, FALSE), 1)</f>
        <v>6.7914958430236767E-3</v>
      </c>
      <c r="S8" s="7">
        <f>$B8 * IFERROR(VLOOKUP("industry|SO2|Asthma symptoms wheeze", US_national_yearly!$D:$AM, 27, FALSE) / VLOOKUP("industry|SO2|Asthma symptoms wheeze", US_national_yearly!$D:$AM, 10, FALSE), 1)</f>
        <v>6.7914958430236767E-3</v>
      </c>
      <c r="T8" s="7">
        <f>$B8 * IFERROR(VLOOKUP("industry|SO2|Asthma symptoms wheeze", US_national_yearly!$D:$AM, 28, FALSE) / VLOOKUP("industry|SO2|Asthma symptoms wheeze", US_national_yearly!$D:$AM, 10, FALSE), 1)</f>
        <v>6.7914958430236767E-3</v>
      </c>
      <c r="U8" s="7">
        <f>$B8 * IFERROR(VLOOKUP("industry|SO2|Asthma symptoms wheeze", US_national_yearly!$D:$AM, 29, FALSE) / VLOOKUP("industry|SO2|Asthma symptoms wheeze", US_national_yearly!$D:$AM, 10, FALSE), 1)</f>
        <v>6.7914958430236767E-3</v>
      </c>
      <c r="V8" s="7">
        <f>$B8 * IFERROR(VLOOKUP("industry|SO2|Asthma symptoms wheeze", US_national_yearly!$D:$AM, 30, FALSE) / VLOOKUP("industry|SO2|Asthma symptoms wheeze", US_national_yearly!$D:$AM, 10, FALSE), 1)</f>
        <v>6.7914958430236767E-3</v>
      </c>
      <c r="W8" s="7">
        <f>$B8 * IFERROR(VLOOKUP("industry|SO2|Asthma symptoms wheeze", US_national_yearly!$D:$AM, 31, FALSE) / VLOOKUP("industry|SO2|Asthma symptoms wheeze", US_national_yearly!$D:$AM, 10, FALSE), 1)</f>
        <v>6.7914958430236767E-3</v>
      </c>
      <c r="X8" s="7">
        <f>$B8 * IFERROR(VLOOKUP("industry|SO2|Asthma symptoms wheeze", US_national_yearly!$D:$AM, 32, FALSE) / VLOOKUP("industry|SO2|Asthma symptoms wheeze", US_national_yearly!$D:$AM, 10, FALSE), 1)</f>
        <v>6.7914958430236767E-3</v>
      </c>
      <c r="Y8" s="7">
        <f>$B8 * IFERROR(VLOOKUP("industry|SO2|Asthma symptoms wheeze", US_national_yearly!$D:$AM, 33, FALSE) / VLOOKUP("industry|SO2|Asthma symptoms wheeze", US_national_yearly!$D:$AM, 10, FALSE), 1)</f>
        <v>6.7914958430236767E-3</v>
      </c>
      <c r="Z8" s="7">
        <f>$B8 * IFERROR(VLOOKUP("industry|SO2|Asthma symptoms wheeze", US_national_yearly!$D:$AM, 34, FALSE) / VLOOKUP("industry|SO2|Asthma symptoms wheeze", US_national_yearly!$D:$AM, 10, FALSE), 1)</f>
        <v>6.7914958430236767E-3</v>
      </c>
      <c r="AA8" s="7">
        <f>$B8 * IFERROR(VLOOKUP("industry|SO2|Asthma symptoms wheeze", US_national_yearly!$D:$AM, 35, FALSE) / VLOOKUP("industry|SO2|Asthma symptoms wheeze", US_national_yearly!$D:$AM, 10, FALSE), 1)</f>
        <v>6.7914958430236767E-3</v>
      </c>
      <c r="AB8" s="7">
        <f>$B8 * IFERROR(VLOOKUP("industry|SO2|Asthma symptoms wheeze", US_national_yearly!$D:$AM, 36, FALSE) / VLOOKUP("industry|SO2|Asthma symptoms wheeze", US_national_yearly!$D:$AM, 10, FALSE), 1)</f>
        <v>6.7914958430236767E-3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1.1926899390343385E-4</v>
      </c>
      <c r="C12" s="7">
        <f>$B12 * IFERROR(VLOOKUP("industry|SO2|Respiratory hospital admissions", US_national_yearly!$D:$AM, 11, FALSE) / VLOOKUP("industry|SO2|Respiratory hospital admissions", US_national_yearly!$D:$AM, 10, FALSE), 1)</f>
        <v>1.1996768251704638E-4</v>
      </c>
      <c r="D12" s="7">
        <f>$B12 * IFERROR(VLOOKUP("industry|SO2|Respiratory hospital admissions", US_national_yearly!$D:$AM, 12, FALSE) / VLOOKUP("industry|SO2|Respiratory hospital admissions", US_national_yearly!$D:$AM, 10, FALSE), 1)</f>
        <v>1.2066637113065891E-4</v>
      </c>
      <c r="E12" s="7">
        <f>$B12 * IFERROR(VLOOKUP("industry|SO2|Respiratory hospital admissions", US_national_yearly!$D:$AM, 13, FALSE) / VLOOKUP("industry|SO2|Respiratory hospital admissions", US_national_yearly!$D:$AM, 10, FALSE), 1)</f>
        <v>1.2136505974427143E-4</v>
      </c>
      <c r="F12" s="7">
        <f>$B12 * IFERROR(VLOOKUP("industry|SO2|Respiratory hospital admissions", US_national_yearly!$D:$AM, 14, FALSE) / VLOOKUP("industry|SO2|Respiratory hospital admissions", US_national_yearly!$D:$AM, 10, FALSE), 1)</f>
        <v>1.2206374835788399E-4</v>
      </c>
      <c r="G12" s="7">
        <f>$B12 * IFERROR(VLOOKUP("industry|SO2|Respiratory hospital admissions", US_national_yearly!$D:$AM, 15, FALSE) / VLOOKUP("industry|SO2|Respiratory hospital admissions", US_national_yearly!$D:$AM, 10, FALSE), 1)</f>
        <v>1.2282545410257088E-4</v>
      </c>
      <c r="H12" s="7">
        <f>$B12 * IFERROR(VLOOKUP("industry|SO2|Respiratory hospital admissions", US_national_yearly!$D:$AM, 16, FALSE) / VLOOKUP("industry|SO2|Respiratory hospital admissions", US_national_yearly!$D:$AM, 10, FALSE), 1)</f>
        <v>1.2358715984725781E-4</v>
      </c>
      <c r="I12" s="7">
        <f>$B12 * IFERROR(VLOOKUP("industry|SO2|Respiratory hospital admissions", US_national_yearly!$D:$AM, 17, FALSE) / VLOOKUP("industry|SO2|Respiratory hospital admissions", US_national_yearly!$D:$AM, 10, FALSE), 1)</f>
        <v>1.2433527978628563E-4</v>
      </c>
      <c r="J12" s="7">
        <f>$B12 * IFERROR(VLOOKUP("industry|SO2|Respiratory hospital admissions", US_national_yearly!$D:$AM, 18, FALSE) / VLOOKUP("industry|SO2|Respiratory hospital admissions", US_national_yearly!$D:$AM, 10, FALSE), 1)</f>
        <v>1.2508339972531343E-4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1.2583151966434123E-4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1.2657963960336906E-4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1.2732775954239688E-4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1.2786910966016313E-4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1.2841045977792938E-4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1.2895180989569563E-4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1.2949316001346187E-4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1.3003451013122809E-4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1.305489806687258E-4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1.3106345120622345E-4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1.3157792174372111E-4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1.3209239228121879E-4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1.3260686281871647E-4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1.3309541176944272E-4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1.3358396072016897E-4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1.3407250967089522E-4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1.3456105862162147E-4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1.3504960757234773E-4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5.5000964827611309E-4</v>
      </c>
      <c r="C13" s="7">
        <f>$B13 * IFERROR(VLOOKUP("industry|SO2|Non-fatal heart attacks", US_national_yearly!$D:$AM, 11, FALSE) / VLOOKUP("industry|SO2|Non-fatal heart attacks", US_national_yearly!$D:$AM, 10, FALSE), 1)</f>
        <v>5.6615586904877071E-4</v>
      </c>
      <c r="D13" s="7">
        <f>$B13 * IFERROR(VLOOKUP("industry|SO2|Non-fatal heart attacks", US_national_yearly!$D:$AM, 12, FALSE) / VLOOKUP("industry|SO2|Non-fatal heart attacks", US_national_yearly!$D:$AM, 10, FALSE), 1)</f>
        <v>5.8230208982142843E-4</v>
      </c>
      <c r="E13" s="7">
        <f>$B13 * IFERROR(VLOOKUP("industry|SO2|Non-fatal heart attacks", US_national_yearly!$D:$AM, 13, FALSE) / VLOOKUP("industry|SO2|Non-fatal heart attacks", US_national_yearly!$D:$AM, 10, FALSE), 1)</f>
        <v>5.9844831059408595E-4</v>
      </c>
      <c r="F13" s="7">
        <f>$B13 * IFERROR(VLOOKUP("industry|SO2|Non-fatal heart attacks", US_national_yearly!$D:$AM, 14, FALSE) / VLOOKUP("industry|SO2|Non-fatal heart attacks", US_national_yearly!$D:$AM, 10, FALSE), 1)</f>
        <v>6.1459453136674378E-4</v>
      </c>
      <c r="G13" s="7">
        <f>$B13 * IFERROR(VLOOKUP("industry|SO2|Non-fatal heart attacks", US_national_yearly!$D:$AM, 15, FALSE) / VLOOKUP("industry|SO2|Non-fatal heart attacks", US_national_yearly!$D:$AM, 10, FALSE), 1)</f>
        <v>6.2983204060448796E-4</v>
      </c>
      <c r="H13" s="7">
        <f>$B13 * IFERROR(VLOOKUP("industry|SO2|Non-fatal heart attacks", US_national_yearly!$D:$AM, 16, FALSE) / VLOOKUP("industry|SO2|Non-fatal heart attacks", US_national_yearly!$D:$AM, 10, FALSE), 1)</f>
        <v>6.4506954984223236E-4</v>
      </c>
      <c r="I13" s="7">
        <f>$B13 * IFERROR(VLOOKUP("industry|SO2|Non-fatal heart attacks", US_national_yearly!$D:$AM, 17, FALSE) / VLOOKUP("industry|SO2|Non-fatal heart attacks", US_national_yearly!$D:$AM, 10, FALSE), 1)</f>
        <v>6.5735361980999571E-4</v>
      </c>
      <c r="J13" s="7">
        <f>$B13 * IFERROR(VLOOKUP("industry|SO2|Non-fatal heart attacks", US_national_yearly!$D:$AM, 18, FALSE) / VLOOKUP("industry|SO2|Non-fatal heart attacks", US_national_yearly!$D:$AM, 10, FALSE), 1)</f>
        <v>6.6963768977775938E-4</v>
      </c>
      <c r="K13" s="7">
        <f>$B13 * IFERROR(VLOOKUP("industry|SO2|Non-fatal heart attacks", US_national_yearly!$D:$AM, 19, FALSE) / VLOOKUP("industry|SO2|Non-fatal heart attacks", US_national_yearly!$D:$AM, 10, FALSE), 1)</f>
        <v>6.8192175974552283E-4</v>
      </c>
      <c r="L13" s="7">
        <f>$B13 * IFERROR(VLOOKUP("industry|SO2|Non-fatal heart attacks", US_national_yearly!$D:$AM, 20, FALSE) / VLOOKUP("industry|SO2|Non-fatal heart attacks", US_national_yearly!$D:$AM, 10, FALSE), 1)</f>
        <v>6.9420582971328629E-4</v>
      </c>
      <c r="M13" s="7">
        <f>$B13 * IFERROR(VLOOKUP("industry|SO2|Non-fatal heart attacks", US_national_yearly!$D:$AM, 21, FALSE) / VLOOKUP("industry|SO2|Non-fatal heart attacks", US_national_yearly!$D:$AM, 10, FALSE), 1)</f>
        <v>7.0648989968104985E-4</v>
      </c>
      <c r="N13" s="7">
        <f>$B13 * IFERROR(VLOOKUP("industry|SO2|Non-fatal heart attacks", US_national_yearly!$D:$AM, 22, FALSE) / VLOOKUP("industry|SO2|Non-fatal heart attacks", US_national_yearly!$D:$AM, 10, FALSE), 1)</f>
        <v>7.1447028597723195E-4</v>
      </c>
      <c r="O13" s="7">
        <f>$B13 * IFERROR(VLOOKUP("industry|SO2|Non-fatal heart attacks", US_national_yearly!$D:$AM, 23, FALSE) / VLOOKUP("industry|SO2|Non-fatal heart attacks", US_national_yearly!$D:$AM, 10, FALSE), 1)</f>
        <v>7.2245067227341426E-4</v>
      </c>
      <c r="P13" s="7">
        <f>$B13 * IFERROR(VLOOKUP("industry|SO2|Non-fatal heart attacks", US_national_yearly!$D:$AM, 24, FALSE) / VLOOKUP("industry|SO2|Non-fatal heart attacks", US_national_yearly!$D:$AM, 10, FALSE), 1)</f>
        <v>7.3043105856959636E-4</v>
      </c>
      <c r="Q13" s="7">
        <f>$B13 * IFERROR(VLOOKUP("industry|SO2|Non-fatal heart attacks", US_national_yearly!$D:$AM, 25, FALSE) / VLOOKUP("industry|SO2|Non-fatal heart attacks", US_national_yearly!$D:$AM, 10, FALSE), 1)</f>
        <v>7.3841144486577845E-4</v>
      </c>
      <c r="R13" s="7">
        <f>$B13 * IFERROR(VLOOKUP("industry|SO2|Non-fatal heart attacks", US_national_yearly!$D:$AM, 26, FALSE) / VLOOKUP("industry|SO2|Non-fatal heart attacks", US_national_yearly!$D:$AM, 10, FALSE), 1)</f>
        <v>7.4639183116196066E-4</v>
      </c>
      <c r="S13" s="7">
        <f>$B13 * IFERROR(VLOOKUP("industry|SO2|Non-fatal heart attacks", US_national_yearly!$D:$AM, 27, FALSE) / VLOOKUP("industry|SO2|Non-fatal heart attacks", US_national_yearly!$D:$AM, 10, FALSE), 1)</f>
        <v>7.505832473800755E-4</v>
      </c>
      <c r="T13" s="7">
        <f>$B13 * IFERROR(VLOOKUP("industry|SO2|Non-fatal heart attacks", US_national_yearly!$D:$AM, 28, FALSE) / VLOOKUP("industry|SO2|Non-fatal heart attacks", US_national_yearly!$D:$AM, 10, FALSE), 1)</f>
        <v>7.5477466359819023E-4</v>
      </c>
      <c r="U13" s="7">
        <f>$B13 * IFERROR(VLOOKUP("industry|SO2|Non-fatal heart attacks", US_national_yearly!$D:$AM, 29, FALSE) / VLOOKUP("industry|SO2|Non-fatal heart attacks", US_national_yearly!$D:$AM, 10, FALSE), 1)</f>
        <v>7.5896607981630507E-4</v>
      </c>
      <c r="V13" s="7">
        <f>$B13 * IFERROR(VLOOKUP("industry|SO2|Non-fatal heart attacks", US_national_yearly!$D:$AM, 30, FALSE) / VLOOKUP("industry|SO2|Non-fatal heart attacks", US_national_yearly!$D:$AM, 10, FALSE), 1)</f>
        <v>7.631574960344199E-4</v>
      </c>
      <c r="W13" s="7">
        <f>$B13 * IFERROR(VLOOKUP("industry|SO2|Non-fatal heart attacks", US_national_yearly!$D:$AM, 31, FALSE) / VLOOKUP("industry|SO2|Non-fatal heart attacks", US_national_yearly!$D:$AM, 10, FALSE), 1)</f>
        <v>7.6734891225253463E-4</v>
      </c>
      <c r="X13" s="7">
        <f>$B13 * IFERROR(VLOOKUP("industry|SO2|Non-fatal heart attacks", US_national_yearly!$D:$AM, 32, FALSE) / VLOOKUP("industry|SO2|Non-fatal heart attacks", US_national_yearly!$D:$AM, 10, FALSE), 1)</f>
        <v>7.7053217191808414E-4</v>
      </c>
      <c r="Y13" s="7">
        <f>$B13 * IFERROR(VLOOKUP("industry|SO2|Non-fatal heart attacks", US_national_yearly!$D:$AM, 33, FALSE) / VLOOKUP("industry|SO2|Non-fatal heart attacks", US_national_yearly!$D:$AM, 10, FALSE), 1)</f>
        <v>7.7371543158363365E-4</v>
      </c>
      <c r="Z13" s="7">
        <f>$B13 * IFERROR(VLOOKUP("industry|SO2|Non-fatal heart attacks", US_national_yearly!$D:$AM, 34, FALSE) / VLOOKUP("industry|SO2|Non-fatal heart attacks", US_national_yearly!$D:$AM, 10, FALSE), 1)</f>
        <v>7.7689869124918304E-4</v>
      </c>
      <c r="AA13" s="7">
        <f>$B13 * IFERROR(VLOOKUP("industry|SO2|Non-fatal heart attacks", US_national_yearly!$D:$AM, 35, FALSE) / VLOOKUP("industry|SO2|Non-fatal heart attacks", US_national_yearly!$D:$AM, 10, FALSE), 1)</f>
        <v>7.8008195091473266E-4</v>
      </c>
      <c r="AB13" s="7">
        <f>$B13 * IFERROR(VLOOKUP("industry|SO2|Non-fatal heart attacks", US_national_yearly!$D:$AM, 36, FALSE) / VLOOKUP("industry|SO2|Non-fatal heart attacks", US_national_yearly!$D:$AM, 10, FALSE), 1)</f>
        <v>7.8326521058028216E-4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0.38237740096576756</v>
      </c>
      <c r="C14" s="7">
        <f>$B14 * IFERROR(VLOOKUP("industry|SO2|Minor restricted activity days", US_national_yearly!$D:$AM, 11, FALSE) / VLOOKUP("industry|SO2|Minor restricted activity days", US_national_yearly!$D:$AM, 10, FALSE), 1)</f>
        <v>0.38333387560789467</v>
      </c>
      <c r="D14" s="7">
        <f>$B14 * IFERROR(VLOOKUP("industry|SO2|Minor restricted activity days", US_national_yearly!$D:$AM, 12, FALSE) / VLOOKUP("industry|SO2|Minor restricted activity days", US_national_yearly!$D:$AM, 10, FALSE), 1)</f>
        <v>0.38429035025002167</v>
      </c>
      <c r="E14" s="7">
        <f>$B14 * IFERROR(VLOOKUP("industry|SO2|Minor restricted activity days", US_national_yearly!$D:$AM, 13, FALSE) / VLOOKUP("industry|SO2|Minor restricted activity days", US_national_yearly!$D:$AM, 10, FALSE), 1)</f>
        <v>0.38524682489214879</v>
      </c>
      <c r="F14" s="7">
        <f>$B14 * IFERROR(VLOOKUP("industry|SO2|Minor restricted activity days", US_national_yearly!$D:$AM, 14, FALSE) / VLOOKUP("industry|SO2|Minor restricted activity days", US_national_yearly!$D:$AM, 10, FALSE), 1)</f>
        <v>0.38620329953427585</v>
      </c>
      <c r="G14" s="7">
        <f>$B14 * IFERROR(VLOOKUP("industry|SO2|Minor restricted activity days", US_national_yearly!$D:$AM, 15, FALSE) / VLOOKUP("industry|SO2|Minor restricted activity days", US_national_yearly!$D:$AM, 10, FALSE), 1)</f>
        <v>0.38761036487271816</v>
      </c>
      <c r="H14" s="7">
        <f>$B14 * IFERROR(VLOOKUP("industry|SO2|Minor restricted activity days", US_national_yearly!$D:$AM, 16, FALSE) / VLOOKUP("industry|SO2|Minor restricted activity days", US_national_yearly!$D:$AM, 10, FALSE), 1)</f>
        <v>0.38901743021116036</v>
      </c>
      <c r="I14" s="7">
        <f>$B14 * IFERROR(VLOOKUP("industry|SO2|Minor restricted activity days", US_national_yearly!$D:$AM, 17, FALSE) / VLOOKUP("industry|SO2|Minor restricted activity days", US_national_yearly!$D:$AM, 10, FALSE), 1)</f>
        <v>0.39141690221837966</v>
      </c>
      <c r="J14" s="7">
        <f>$B14 * IFERROR(VLOOKUP("industry|SO2|Minor restricted activity days", US_national_yearly!$D:$AM, 18, FALSE) / VLOOKUP("industry|SO2|Minor restricted activity days", US_national_yearly!$D:$AM, 10, FALSE), 1)</f>
        <v>0.39381637422559895</v>
      </c>
      <c r="K14" s="7">
        <f>$B14 * IFERROR(VLOOKUP("industry|SO2|Minor restricted activity days", US_national_yearly!$D:$AM, 19, FALSE) / VLOOKUP("industry|SO2|Minor restricted activity days", US_national_yearly!$D:$AM, 10, FALSE), 1)</f>
        <v>0.39621584623281825</v>
      </c>
      <c r="L14" s="7">
        <f>$B14 * IFERROR(VLOOKUP("industry|SO2|Minor restricted activity days", US_national_yearly!$D:$AM, 20, FALSE) / VLOOKUP("industry|SO2|Minor restricted activity days", US_national_yearly!$D:$AM, 10, FALSE), 1)</f>
        <v>0.3986153182400376</v>
      </c>
      <c r="M14" s="7">
        <f>$B14 * IFERROR(VLOOKUP("industry|SO2|Minor restricted activity days", US_national_yearly!$D:$AM, 21, FALSE) / VLOOKUP("industry|SO2|Minor restricted activity days", US_national_yearly!$D:$AM, 10, FALSE), 1)</f>
        <v>0.40101479024725689</v>
      </c>
      <c r="N14" s="7">
        <f>$B14 * IFERROR(VLOOKUP("industry|SO2|Minor restricted activity days", US_national_yearly!$D:$AM, 22, FALSE) / VLOOKUP("industry|SO2|Minor restricted activity days", US_national_yearly!$D:$AM, 10, FALSE), 1)</f>
        <v>0.40430475494697826</v>
      </c>
      <c r="O14" s="7">
        <f>$B14 * IFERROR(VLOOKUP("industry|SO2|Minor restricted activity days", US_national_yearly!$D:$AM, 23, FALSE) / VLOOKUP("industry|SO2|Minor restricted activity days", US_national_yearly!$D:$AM, 10, FALSE), 1)</f>
        <v>0.40759471964669963</v>
      </c>
      <c r="P14" s="7">
        <f>$B14 * IFERROR(VLOOKUP("industry|SO2|Minor restricted activity days", US_national_yearly!$D:$AM, 24, FALSE) / VLOOKUP("industry|SO2|Minor restricted activity days", US_national_yearly!$D:$AM, 10, FALSE), 1)</f>
        <v>0.41088468434642106</v>
      </c>
      <c r="Q14" s="7">
        <f>$B14 * IFERROR(VLOOKUP("industry|SO2|Minor restricted activity days", US_national_yearly!$D:$AM, 25, FALSE) / VLOOKUP("industry|SO2|Minor restricted activity days", US_national_yearly!$D:$AM, 10, FALSE), 1)</f>
        <v>0.41417464904614254</v>
      </c>
      <c r="R14" s="7">
        <f>$B14 * IFERROR(VLOOKUP("industry|SO2|Minor restricted activity days", US_national_yearly!$D:$AM, 26, FALSE) / VLOOKUP("industry|SO2|Minor restricted activity days", US_national_yearly!$D:$AM, 10, FALSE), 1)</f>
        <v>0.41746461374586391</v>
      </c>
      <c r="S14" s="7">
        <f>$B14 * IFERROR(VLOOKUP("industry|SO2|Minor restricted activity days", US_national_yearly!$D:$AM, 27, FALSE) / VLOOKUP("industry|SO2|Minor restricted activity days", US_national_yearly!$D:$AM, 10, FALSE), 1)</f>
        <v>0.42082228842600622</v>
      </c>
      <c r="T14" s="7">
        <f>$B14 * IFERROR(VLOOKUP("industry|SO2|Minor restricted activity days", US_national_yearly!$D:$AM, 28, FALSE) / VLOOKUP("industry|SO2|Minor restricted activity days", US_national_yearly!$D:$AM, 10, FALSE), 1)</f>
        <v>0.42417996310614864</v>
      </c>
      <c r="U14" s="7">
        <f>$B14 * IFERROR(VLOOKUP("industry|SO2|Minor restricted activity days", US_national_yearly!$D:$AM, 29, FALSE) / VLOOKUP("industry|SO2|Minor restricted activity days", US_national_yearly!$D:$AM, 10, FALSE), 1)</f>
        <v>0.42753763778629095</v>
      </c>
      <c r="V14" s="7">
        <f>$B14 * IFERROR(VLOOKUP("industry|SO2|Minor restricted activity days", US_national_yearly!$D:$AM, 30, FALSE) / VLOOKUP("industry|SO2|Minor restricted activity days", US_national_yearly!$D:$AM, 10, FALSE), 1)</f>
        <v>0.43089531246643337</v>
      </c>
      <c r="W14" s="7">
        <f>$B14 * IFERROR(VLOOKUP("industry|SO2|Minor restricted activity days", US_national_yearly!$D:$AM, 31, FALSE) / VLOOKUP("industry|SO2|Minor restricted activity days", US_national_yearly!$D:$AM, 10, FALSE), 1)</f>
        <v>0.43425298714657568</v>
      </c>
      <c r="X14" s="7">
        <f>$B14 * IFERROR(VLOOKUP("industry|SO2|Minor restricted activity days", US_national_yearly!$D:$AM, 32, FALSE) / VLOOKUP("industry|SO2|Minor restricted activity days", US_national_yearly!$D:$AM, 10, FALSE), 1)</f>
        <v>0.4372053639921325</v>
      </c>
      <c r="Y14" s="7">
        <f>$B14 * IFERROR(VLOOKUP("industry|SO2|Minor restricted activity days", US_national_yearly!$D:$AM, 33, FALSE) / VLOOKUP("industry|SO2|Minor restricted activity days", US_national_yearly!$D:$AM, 10, FALSE), 1)</f>
        <v>0.44015774083768927</v>
      </c>
      <c r="Z14" s="7">
        <f>$B14 * IFERROR(VLOOKUP("industry|SO2|Minor restricted activity days", US_national_yearly!$D:$AM, 34, FALSE) / VLOOKUP("industry|SO2|Minor restricted activity days", US_national_yearly!$D:$AM, 10, FALSE), 1)</f>
        <v>0.44311011768324604</v>
      </c>
      <c r="AA14" s="7">
        <f>$B14 * IFERROR(VLOOKUP("industry|SO2|Minor restricted activity days", US_national_yearly!$D:$AM, 35, FALSE) / VLOOKUP("industry|SO2|Minor restricted activity days", US_national_yearly!$D:$AM, 10, FALSE), 1)</f>
        <v>0.44606249452880276</v>
      </c>
      <c r="AB14" s="7">
        <f>$B14 * IFERROR(VLOOKUP("industry|SO2|Minor restricted activity days", US_national_yearly!$D:$AM, 36, FALSE) / VLOOKUP("industry|SO2|Minor restricted activity days", US_national_yearly!$D:$AM, 10, FALSE), 1)</f>
        <v>0.44901487137435958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6.4546145886445902E-2</v>
      </c>
      <c r="C15" s="7">
        <f>$B15 * IFERROR(VLOOKUP("industry|SO2|Work loss days", US_national_yearly!$D:$AM, 11, FALSE) / VLOOKUP("industry|SO2|Work loss days", US_national_yearly!$D:$AM, 10, FALSE), 1)</f>
        <v>6.4753718999395138E-2</v>
      </c>
      <c r="D15" s="7">
        <f>$B15 * IFERROR(VLOOKUP("industry|SO2|Work loss days", US_national_yearly!$D:$AM, 12, FALSE) / VLOOKUP("industry|SO2|Work loss days", US_national_yearly!$D:$AM, 10, FALSE), 1)</f>
        <v>6.4961292112344401E-2</v>
      </c>
      <c r="E15" s="7">
        <f>$B15 * IFERROR(VLOOKUP("industry|SO2|Work loss days", US_national_yearly!$D:$AM, 13, FALSE) / VLOOKUP("industry|SO2|Work loss days", US_national_yearly!$D:$AM, 10, FALSE), 1)</f>
        <v>6.5168865225293637E-2</v>
      </c>
      <c r="F15" s="7">
        <f>$B15 * IFERROR(VLOOKUP("industry|SO2|Work loss days", US_national_yearly!$D:$AM, 14, FALSE) / VLOOKUP("industry|SO2|Work loss days", US_national_yearly!$D:$AM, 10, FALSE), 1)</f>
        <v>6.5376438338242901E-2</v>
      </c>
      <c r="G15" s="7">
        <f>$B15 * IFERROR(VLOOKUP("industry|SO2|Work loss days", US_national_yearly!$D:$AM, 15, FALSE) / VLOOKUP("industry|SO2|Work loss days", US_national_yearly!$D:$AM, 10, FALSE), 1)</f>
        <v>6.5647377344827923E-2</v>
      </c>
      <c r="H15" s="7">
        <f>$B15 * IFERROR(VLOOKUP("industry|SO2|Work loss days", US_national_yearly!$D:$AM, 16, FALSE) / VLOOKUP("industry|SO2|Work loss days", US_national_yearly!$D:$AM, 10, FALSE), 1)</f>
        <v>6.5918316351412945E-2</v>
      </c>
      <c r="I15" s="7">
        <f>$B15 * IFERROR(VLOOKUP("industry|SO2|Work loss days", US_national_yearly!$D:$AM, 17, FALSE) / VLOOKUP("industry|SO2|Work loss days", US_national_yearly!$D:$AM, 10, FALSE), 1)</f>
        <v>6.6314352832256798E-2</v>
      </c>
      <c r="J15" s="7">
        <f>$B15 * IFERROR(VLOOKUP("industry|SO2|Work loss days", US_national_yearly!$D:$AM, 18, FALSE) / VLOOKUP("industry|SO2|Work loss days", US_national_yearly!$D:$AM, 10, FALSE), 1)</f>
        <v>6.6710389313100638E-2</v>
      </c>
      <c r="K15" s="7">
        <f>$B15 * IFERROR(VLOOKUP("industry|SO2|Work loss days", US_national_yearly!$D:$AM, 19, FALSE) / VLOOKUP("industry|SO2|Work loss days", US_national_yearly!$D:$AM, 10, FALSE), 1)</f>
        <v>6.7106425793944477E-2</v>
      </c>
      <c r="L15" s="7">
        <f>$B15 * IFERROR(VLOOKUP("industry|SO2|Work loss days", US_national_yearly!$D:$AM, 20, FALSE) / VLOOKUP("industry|SO2|Work loss days", US_national_yearly!$D:$AM, 10, FALSE), 1)</f>
        <v>6.750246227478833E-2</v>
      </c>
      <c r="M15" s="7">
        <f>$B15 * IFERROR(VLOOKUP("industry|SO2|Work loss days", US_national_yearly!$D:$AM, 21, FALSE) / VLOOKUP("industry|SO2|Work loss days", US_national_yearly!$D:$AM, 10, FALSE), 1)</f>
        <v>6.7898498755632156E-2</v>
      </c>
      <c r="N15" s="7">
        <f>$B15 * IFERROR(VLOOKUP("industry|SO2|Work loss days", US_national_yearly!$D:$AM, 22, FALSE) / VLOOKUP("industry|SO2|Work loss days", US_national_yearly!$D:$AM, 10, FALSE), 1)</f>
        <v>6.839625830782646E-2</v>
      </c>
      <c r="O15" s="7">
        <f>$B15 * IFERROR(VLOOKUP("industry|SO2|Work loss days", US_national_yearly!$D:$AM, 23, FALSE) / VLOOKUP("industry|SO2|Work loss days", US_national_yearly!$D:$AM, 10, FALSE), 1)</f>
        <v>6.8894017860020765E-2</v>
      </c>
      <c r="P15" s="7">
        <f>$B15 * IFERROR(VLOOKUP("industry|SO2|Work loss days", US_national_yearly!$D:$AM, 24, FALSE) / VLOOKUP("industry|SO2|Work loss days", US_national_yearly!$D:$AM, 10, FALSE), 1)</f>
        <v>6.9391777412215069E-2</v>
      </c>
      <c r="Q15" s="7">
        <f>$B15 * IFERROR(VLOOKUP("industry|SO2|Work loss days", US_national_yearly!$D:$AM, 25, FALSE) / VLOOKUP("industry|SO2|Work loss days", US_national_yearly!$D:$AM, 10, FALSE), 1)</f>
        <v>6.988953696440936E-2</v>
      </c>
      <c r="R15" s="7">
        <f>$B15 * IFERROR(VLOOKUP("industry|SO2|Work loss days", US_national_yearly!$D:$AM, 26, FALSE) / VLOOKUP("industry|SO2|Work loss days", US_national_yearly!$D:$AM, 10, FALSE), 1)</f>
        <v>7.0387296516603665E-2</v>
      </c>
      <c r="S15" s="7">
        <f>$B15 * IFERROR(VLOOKUP("industry|SO2|Work loss days", US_national_yearly!$D:$AM, 27, FALSE) / VLOOKUP("industry|SO2|Work loss days", US_national_yearly!$D:$AM, 10, FALSE), 1)</f>
        <v>7.094426894153405E-2</v>
      </c>
      <c r="T15" s="7">
        <f>$B15 * IFERROR(VLOOKUP("industry|SO2|Work loss days", US_national_yearly!$D:$AM, 28, FALSE) / VLOOKUP("industry|SO2|Work loss days", US_national_yearly!$D:$AM, 10, FALSE), 1)</f>
        <v>7.1501241366464435E-2</v>
      </c>
      <c r="U15" s="7">
        <f>$B15 * IFERROR(VLOOKUP("industry|SO2|Work loss days", US_national_yearly!$D:$AM, 29, FALSE) / VLOOKUP("industry|SO2|Work loss days", US_national_yearly!$D:$AM, 10, FALSE), 1)</f>
        <v>7.2058213791394848E-2</v>
      </c>
      <c r="V15" s="7">
        <f>$B15 * IFERROR(VLOOKUP("industry|SO2|Work loss days", US_national_yearly!$D:$AM, 30, FALSE) / VLOOKUP("industry|SO2|Work loss days", US_national_yearly!$D:$AM, 10, FALSE), 1)</f>
        <v>7.261518621632522E-2</v>
      </c>
      <c r="W15" s="7">
        <f>$B15 * IFERROR(VLOOKUP("industry|SO2|Work loss days", US_national_yearly!$D:$AM, 31, FALSE) / VLOOKUP("industry|SO2|Work loss days", US_national_yearly!$D:$AM, 10, FALSE), 1)</f>
        <v>7.3172158641255605E-2</v>
      </c>
      <c r="X15" s="7">
        <f>$B15 * IFERROR(VLOOKUP("industry|SO2|Work loss days", US_national_yearly!$D:$AM, 32, FALSE) / VLOOKUP("industry|SO2|Work loss days", US_national_yearly!$D:$AM, 10, FALSE), 1)</f>
        <v>7.3672416175841332E-2</v>
      </c>
      <c r="Y15" s="7">
        <f>$B15 * IFERROR(VLOOKUP("industry|SO2|Work loss days", US_national_yearly!$D:$AM, 33, FALSE) / VLOOKUP("industry|SO2|Work loss days", US_national_yearly!$D:$AM, 10, FALSE), 1)</f>
        <v>7.4172673710427073E-2</v>
      </c>
      <c r="Z15" s="7">
        <f>$B15 * IFERROR(VLOOKUP("industry|SO2|Work loss days", US_national_yearly!$D:$AM, 34, FALSE) / VLOOKUP("industry|SO2|Work loss days", US_national_yearly!$D:$AM, 10, FALSE), 1)</f>
        <v>7.4672931245012786E-2</v>
      </c>
      <c r="AA15" s="7">
        <f>$B15 * IFERROR(VLOOKUP("industry|SO2|Work loss days", US_national_yearly!$D:$AM, 35, FALSE) / VLOOKUP("industry|SO2|Work loss days", US_national_yearly!$D:$AM, 10, FALSE), 1)</f>
        <v>7.5173188779598527E-2</v>
      </c>
      <c r="AB15" s="7">
        <f>$B15 * IFERROR(VLOOKUP("industry|SO2|Work loss days", US_national_yearly!$D:$AM, 36, FALSE) / VLOOKUP("industry|SO2|Work loss days", US_national_yearly!$D:$AM, 10, FALSE), 1)</f>
        <v>7.567344631418424E-2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1.0699309264871692E-4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1.1022826381694185E-4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1.134634349851668E-4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1.1669860615339175E-4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1.1993377732161671E-4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1.2303423819756313E-4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1.2613469907350955E-4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1.2879500307244897E-4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1.3145530707138841E-4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1.3411561107032786E-4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1.3677591506926727E-4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1.3943621906820669E-4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1.412235555012316E-4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1.4301089193425652E-4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1.4479822836728138E-4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1.4658556480030629E-4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1.4837290123333118E-4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1.4931797544692521E-4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1.5026304966051928E-4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1.5120812387411328E-4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1.5215319808770735E-4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1.5309827230130136E-4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1.537373930441317E-4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1.5437651378696205E-4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1.5501563452979242E-4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1.5565475527262276E-4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1.5629387601545308E-4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1.3055447732626617E-4</v>
      </c>
      <c r="C2" s="7">
        <f>$B2 * IFERROR(VLOOKUP("LULUCF|PM25|Premature mortality", US_national_yearly!$D:$AM, 11, FALSE) / VLOOKUP("LULUCF|PM25|Premature mortality", US_national_yearly!$D:$AM, 10, FALSE), 1)</f>
        <v>1.3217306673678509E-4</v>
      </c>
      <c r="D2" s="7">
        <f>$B2 * IFERROR(VLOOKUP("LULUCF|PM25|Premature mortality", US_national_yearly!$D:$AM, 12, FALSE) / VLOOKUP("LULUCF|PM25|Premature mortality", US_national_yearly!$D:$AM, 10, FALSE), 1)</f>
        <v>1.3379165614730396E-4</v>
      </c>
      <c r="E2" s="7">
        <f>$B2 * IFERROR(VLOOKUP("LULUCF|PM25|Premature mortality", US_national_yearly!$D:$AM, 13, FALSE) / VLOOKUP("LULUCF|PM25|Premature mortality", US_national_yearly!$D:$AM, 10, FALSE), 1)</f>
        <v>1.3541024555782286E-4</v>
      </c>
      <c r="F2" s="7">
        <f>$B2 * IFERROR(VLOOKUP("LULUCF|PM25|Premature mortality", US_national_yearly!$D:$AM, 14, FALSE) / VLOOKUP("LULUCF|PM25|Premature mortality", US_national_yearly!$D:$AM, 10, FALSE), 1)</f>
        <v>1.3702883496834176E-4</v>
      </c>
      <c r="G2" s="7">
        <f>$B2 * IFERROR(VLOOKUP("LULUCF|PM25|Premature mortality", US_national_yearly!$D:$AM, 15, FALSE) / VLOOKUP("LULUCF|PM25|Premature mortality", US_national_yearly!$D:$AM, 10, FALSE), 1)</f>
        <v>1.4018102563821493E-4</v>
      </c>
      <c r="H2" s="7">
        <f>$B2 * IFERROR(VLOOKUP("LULUCF|PM25|Premature mortality", US_national_yearly!$D:$AM, 16, FALSE) / VLOOKUP("LULUCF|PM25|Premature mortality", US_national_yearly!$D:$AM, 10, FALSE), 1)</f>
        <v>1.4333321630808813E-4</v>
      </c>
      <c r="I2" s="7">
        <f>$B2 * IFERROR(VLOOKUP("LULUCF|PM25|Premature mortality", US_national_yearly!$D:$AM, 17, FALSE) / VLOOKUP("LULUCF|PM25|Premature mortality", US_national_yearly!$D:$AM, 10, FALSE), 1)</f>
        <v>1.4540370783195397E-4</v>
      </c>
      <c r="J2" s="7">
        <f>$B2 * IFERROR(VLOOKUP("LULUCF|PM25|Premature mortality", US_national_yearly!$D:$AM, 18, FALSE) / VLOOKUP("LULUCF|PM25|Premature mortality", US_national_yearly!$D:$AM, 10, FALSE), 1)</f>
        <v>1.4747419935581989E-4</v>
      </c>
      <c r="K2" s="7">
        <f>$B2 * IFERROR(VLOOKUP("LULUCF|PM25|Premature mortality", US_national_yearly!$D:$AM, 19, FALSE) / VLOOKUP("LULUCF|PM25|Premature mortality", US_national_yearly!$D:$AM, 10, FALSE), 1)</f>
        <v>1.4954469087968578E-4</v>
      </c>
      <c r="L2" s="7">
        <f>$B2 * IFERROR(VLOOKUP("LULUCF|PM25|Premature mortality", US_national_yearly!$D:$AM, 20, FALSE) / VLOOKUP("LULUCF|PM25|Premature mortality", US_national_yearly!$D:$AM, 10, FALSE), 1)</f>
        <v>1.516151824035517E-4</v>
      </c>
      <c r="M2" s="7">
        <f>$B2 * IFERROR(VLOOKUP("LULUCF|PM25|Premature mortality", US_national_yearly!$D:$AM, 21, FALSE) / VLOOKUP("LULUCF|PM25|Premature mortality", US_national_yearly!$D:$AM, 10, FALSE), 1)</f>
        <v>1.5368567392741759E-4</v>
      </c>
      <c r="N2" s="7">
        <f>$B2 * IFERROR(VLOOKUP("LULUCF|PM25|Premature mortality", US_national_yearly!$D:$AM, 22, FALSE) / VLOOKUP("LULUCF|PM25|Premature mortality", US_national_yearly!$D:$AM, 10, FALSE), 1)</f>
        <v>1.5529327882125531E-4</v>
      </c>
      <c r="O2" s="7">
        <f>$B2 * IFERROR(VLOOKUP("LULUCF|PM25|Premature mortality", US_national_yearly!$D:$AM, 23, FALSE) / VLOOKUP("LULUCF|PM25|Premature mortality", US_national_yearly!$D:$AM, 10, FALSE), 1)</f>
        <v>1.5690088371509304E-4</v>
      </c>
      <c r="P2" s="7">
        <f>$B2 * IFERROR(VLOOKUP("LULUCF|PM25|Premature mortality", US_national_yearly!$D:$AM, 24, FALSE) / VLOOKUP("LULUCF|PM25|Premature mortality", US_national_yearly!$D:$AM, 10, FALSE), 1)</f>
        <v>1.5850848860893076E-4</v>
      </c>
      <c r="Q2" s="7">
        <f>$B2 * IFERROR(VLOOKUP("LULUCF|PM25|Premature mortality", US_national_yearly!$D:$AM, 25, FALSE) / VLOOKUP("LULUCF|PM25|Premature mortality", US_national_yearly!$D:$AM, 10, FALSE), 1)</f>
        <v>1.6011609350276849E-4</v>
      </c>
      <c r="R2" s="7">
        <f>$B2 * IFERROR(VLOOKUP("LULUCF|PM25|Premature mortality", US_national_yearly!$D:$AM, 26, FALSE) / VLOOKUP("LULUCF|PM25|Premature mortality", US_national_yearly!$D:$AM, 10, FALSE), 1)</f>
        <v>1.6172369839660624E-4</v>
      </c>
      <c r="S2" s="7">
        <f>$B2 * IFERROR(VLOOKUP("LULUCF|PM25|Premature mortality", US_national_yearly!$D:$AM, 27, FALSE) / VLOOKUP("LULUCF|PM25|Premature mortality", US_national_yearly!$D:$AM, 10, FALSE), 1)</f>
        <v>1.6257535970582809E-4</v>
      </c>
      <c r="T2" s="7">
        <f>$B2 * IFERROR(VLOOKUP("LULUCF|PM25|Premature mortality", US_national_yearly!$D:$AM, 28, FALSE) / VLOOKUP("LULUCF|PM25|Premature mortality", US_national_yearly!$D:$AM, 10, FALSE), 1)</f>
        <v>1.6342702101504989E-4</v>
      </c>
      <c r="U2" s="7">
        <f>$B2 * IFERROR(VLOOKUP("LULUCF|PM25|Premature mortality", US_national_yearly!$D:$AM, 29, FALSE) / VLOOKUP("LULUCF|PM25|Premature mortality", US_national_yearly!$D:$AM, 10, FALSE), 1)</f>
        <v>1.6427868232427172E-4</v>
      </c>
      <c r="V2" s="7">
        <f>$B2 * IFERROR(VLOOKUP("LULUCF|PM25|Premature mortality", US_national_yearly!$D:$AM, 30, FALSE) / VLOOKUP("LULUCF|PM25|Premature mortality", US_national_yearly!$D:$AM, 10, FALSE), 1)</f>
        <v>1.6513034363349353E-4</v>
      </c>
      <c r="W2" s="7">
        <f>$B2 * IFERROR(VLOOKUP("LULUCF|PM25|Premature mortality", US_national_yearly!$D:$AM, 31, FALSE) / VLOOKUP("LULUCF|PM25|Premature mortality", US_national_yearly!$D:$AM, 10, FALSE), 1)</f>
        <v>1.6598200494271533E-4</v>
      </c>
      <c r="X2" s="7">
        <f>$B2 * IFERROR(VLOOKUP("LULUCF|PM25|Premature mortality", US_national_yearly!$D:$AM, 32, FALSE) / VLOOKUP("LULUCF|PM25|Premature mortality", US_national_yearly!$D:$AM, 10, FALSE), 1)</f>
        <v>1.661309245106894E-4</v>
      </c>
      <c r="Y2" s="7">
        <f>$B2 * IFERROR(VLOOKUP("LULUCF|PM25|Premature mortality", US_national_yearly!$D:$AM, 33, FALSE) / VLOOKUP("LULUCF|PM25|Premature mortality", US_national_yearly!$D:$AM, 10, FALSE), 1)</f>
        <v>1.6627984407866346E-4</v>
      </c>
      <c r="Z2" s="7">
        <f>$B2 * IFERROR(VLOOKUP("LULUCF|PM25|Premature mortality", US_national_yearly!$D:$AM, 34, FALSE) / VLOOKUP("LULUCF|PM25|Premature mortality", US_national_yearly!$D:$AM, 10, FALSE), 1)</f>
        <v>1.664287636466375E-4</v>
      </c>
      <c r="AA2" s="7">
        <f>$B2 * IFERROR(VLOOKUP("LULUCF|PM25|Premature mortality", US_national_yearly!$D:$AM, 35, FALSE) / VLOOKUP("LULUCF|PM25|Premature mortality", US_national_yearly!$D:$AM, 10, FALSE), 1)</f>
        <v>1.665776832146116E-4</v>
      </c>
      <c r="AB2" s="7">
        <f>$B2 * IFERROR(VLOOKUP("LULUCF|PM25|Premature mortality", US_national_yearly!$D:$AM, 36, FALSE) / VLOOKUP("LULUCF|PM25|Premature mortality", US_national_yearly!$D:$AM, 10, FALSE), 1)</f>
        <v>1.6672660278258563E-4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2.4766827592961367E-7</v>
      </c>
      <c r="C3" s="7">
        <f>$B3 * IFERROR(VLOOKUP("LULUCF|PM25|Infant mortality", US_national_yearly!$D:$AM, 11, FALSE) / VLOOKUP("LULUCF|PM25|Infant mortality", US_national_yearly!$D:$AM, 10, FALSE), 1)</f>
        <v>2.4550883456242012E-7</v>
      </c>
      <c r="D3" s="7">
        <f>$B3 * IFERROR(VLOOKUP("LULUCF|PM25|Infant mortality", US_national_yearly!$D:$AM, 12, FALSE) / VLOOKUP("LULUCF|PM25|Infant mortality", US_national_yearly!$D:$AM, 10, FALSE), 1)</f>
        <v>2.4334939319522652E-7</v>
      </c>
      <c r="E3" s="7">
        <f>$B3 * IFERROR(VLOOKUP("LULUCF|PM25|Infant mortality", US_national_yearly!$D:$AM, 13, FALSE) / VLOOKUP("LULUCF|PM25|Infant mortality", US_national_yearly!$D:$AM, 10, FALSE), 1)</f>
        <v>2.4118995182803292E-7</v>
      </c>
      <c r="F3" s="7">
        <f>$B3 * IFERROR(VLOOKUP("LULUCF|PM25|Infant mortality", US_national_yearly!$D:$AM, 14, FALSE) / VLOOKUP("LULUCF|PM25|Infant mortality", US_national_yearly!$D:$AM, 10, FALSE), 1)</f>
        <v>2.3903051046083933E-7</v>
      </c>
      <c r="G3" s="7">
        <f>$B3 * IFERROR(VLOOKUP("LULUCF|PM25|Infant mortality", US_national_yearly!$D:$AM, 15, FALSE) / VLOOKUP("LULUCF|PM25|Infant mortality", US_national_yearly!$D:$AM, 10, FALSE), 1)</f>
        <v>1.5896807566602646E-7</v>
      </c>
      <c r="H3" s="7">
        <f>$B3 * IFERROR(VLOOKUP("LULUCF|PM25|Infant mortality", US_national_yearly!$D:$AM, 16, FALSE) / VLOOKUP("LULUCF|PM25|Infant mortality", US_national_yearly!$D:$AM, 10, FALSE), 1)</f>
        <v>7.8905640871213511E-8</v>
      </c>
      <c r="I3" s="7">
        <f>$B3 * IFERROR(VLOOKUP("LULUCF|PM25|Infant mortality", US_national_yearly!$D:$AM, 17, FALSE) / VLOOKUP("LULUCF|PM25|Infant mortality", US_national_yearly!$D:$AM, 10, FALSE), 1)</f>
        <v>7.8389862167625191E-8</v>
      </c>
      <c r="J3" s="7">
        <f>$B3 * IFERROR(VLOOKUP("LULUCF|PM25|Infant mortality", US_national_yearly!$D:$AM, 18, FALSE) / VLOOKUP("LULUCF|PM25|Infant mortality", US_national_yearly!$D:$AM, 10, FALSE), 1)</f>
        <v>7.7874083464036859E-8</v>
      </c>
      <c r="K3" s="7">
        <f>$B3 * IFERROR(VLOOKUP("LULUCF|PM25|Infant mortality", US_national_yearly!$D:$AM, 19, FALSE) / VLOOKUP("LULUCF|PM25|Infant mortality", US_national_yearly!$D:$AM, 10, FALSE), 1)</f>
        <v>7.7358304760448513E-8</v>
      </c>
      <c r="L3" s="7">
        <f>$B3 * IFERROR(VLOOKUP("LULUCF|PM25|Infant mortality", US_national_yearly!$D:$AM, 20, FALSE) / VLOOKUP("LULUCF|PM25|Infant mortality", US_national_yearly!$D:$AM, 10, FALSE), 1)</f>
        <v>7.6842526056860193E-8</v>
      </c>
      <c r="M3" s="7">
        <f>$B3 * IFERROR(VLOOKUP("LULUCF|PM25|Infant mortality", US_national_yearly!$D:$AM, 21, FALSE) / VLOOKUP("LULUCF|PM25|Infant mortality", US_national_yearly!$D:$AM, 10, FALSE), 1)</f>
        <v>7.6326747353271874E-8</v>
      </c>
      <c r="N3" s="7">
        <f>$B3 * IFERROR(VLOOKUP("LULUCF|PM25|Infant mortality", US_national_yearly!$D:$AM, 22, FALSE) / VLOOKUP("LULUCF|PM25|Infant mortality", US_national_yearly!$D:$AM, 10, FALSE), 1)</f>
        <v>7.600278122513905E-8</v>
      </c>
      <c r="O3" s="7">
        <f>$B3 * IFERROR(VLOOKUP("LULUCF|PM25|Infant mortality", US_national_yearly!$D:$AM, 23, FALSE) / VLOOKUP("LULUCF|PM25|Infant mortality", US_national_yearly!$D:$AM, 10, FALSE), 1)</f>
        <v>7.5678815097006239E-8</v>
      </c>
      <c r="P3" s="7">
        <f>$B3 * IFERROR(VLOOKUP("LULUCF|PM25|Infant mortality", US_national_yearly!$D:$AM, 24, FALSE) / VLOOKUP("LULUCF|PM25|Infant mortality", US_national_yearly!$D:$AM, 10, FALSE), 1)</f>
        <v>7.5354848968873389E-8</v>
      </c>
      <c r="Q3" s="7">
        <f>$B3 * IFERROR(VLOOKUP("LULUCF|PM25|Infant mortality", US_national_yearly!$D:$AM, 25, FALSE) / VLOOKUP("LULUCF|PM25|Infant mortality", US_national_yearly!$D:$AM, 10, FALSE), 1)</f>
        <v>7.5030882840740578E-8</v>
      </c>
      <c r="R3" s="7">
        <f>$B3 * IFERROR(VLOOKUP("LULUCF|PM25|Infant mortality", US_national_yearly!$D:$AM, 26, FALSE) / VLOOKUP("LULUCF|PM25|Infant mortality", US_national_yearly!$D:$AM, 10, FALSE), 1)</f>
        <v>7.4706916712607755E-8</v>
      </c>
      <c r="S3" s="7">
        <f>$B3 * IFERROR(VLOOKUP("LULUCF|PM25|Infant mortality", US_national_yearly!$D:$AM, 27, FALSE) / VLOOKUP("LULUCF|PM25|Infant mortality", US_national_yearly!$D:$AM, 10, FALSE), 1)</f>
        <v>7.4303086309884801E-8</v>
      </c>
      <c r="T3" s="7">
        <f>$B3 * IFERROR(VLOOKUP("LULUCF|PM25|Infant mortality", US_national_yearly!$D:$AM, 28, FALSE) / VLOOKUP("LULUCF|PM25|Infant mortality", US_national_yearly!$D:$AM, 10, FALSE), 1)</f>
        <v>7.3899255907161835E-8</v>
      </c>
      <c r="U3" s="7">
        <f>$B3 * IFERROR(VLOOKUP("LULUCF|PM25|Infant mortality", US_national_yearly!$D:$AM, 29, FALSE) / VLOOKUP("LULUCF|PM25|Infant mortality", US_national_yearly!$D:$AM, 10, FALSE), 1)</f>
        <v>7.3495425504438882E-8</v>
      </c>
      <c r="V3" s="7">
        <f>$B3 * IFERROR(VLOOKUP("LULUCF|PM25|Infant mortality", US_national_yearly!$D:$AM, 30, FALSE) / VLOOKUP("LULUCF|PM25|Infant mortality", US_national_yearly!$D:$AM, 10, FALSE), 1)</f>
        <v>7.3091595101715929E-8</v>
      </c>
      <c r="W3" s="7">
        <f>$B3 * IFERROR(VLOOKUP("LULUCF|PM25|Infant mortality", US_national_yearly!$D:$AM, 31, FALSE) / VLOOKUP("LULUCF|PM25|Infant mortality", US_national_yearly!$D:$AM, 10, FALSE), 1)</f>
        <v>7.2687764698992962E-8</v>
      </c>
      <c r="X3" s="7">
        <f>$B3 * IFERROR(VLOOKUP("LULUCF|PM25|Infant mortality", US_national_yearly!$D:$AM, 32, FALSE) / VLOOKUP("LULUCF|PM25|Infant mortality", US_national_yearly!$D:$AM, 10, FALSE), 1)</f>
        <v>7.2252384768700923E-8</v>
      </c>
      <c r="Y3" s="7">
        <f>$B3 * IFERROR(VLOOKUP("LULUCF|PM25|Infant mortality", US_national_yearly!$D:$AM, 33, FALSE) / VLOOKUP("LULUCF|PM25|Infant mortality", US_national_yearly!$D:$AM, 10, FALSE), 1)</f>
        <v>7.1817004838408857E-8</v>
      </c>
      <c r="Z3" s="7">
        <f>$B3 * IFERROR(VLOOKUP("LULUCF|PM25|Infant mortality", US_national_yearly!$D:$AM, 34, FALSE) / VLOOKUP("LULUCF|PM25|Infant mortality", US_national_yearly!$D:$AM, 10, FALSE), 1)</f>
        <v>7.1381624908116817E-8</v>
      </c>
      <c r="AA3" s="7">
        <f>$B3 * IFERROR(VLOOKUP("LULUCF|PM25|Infant mortality", US_national_yearly!$D:$AM, 35, FALSE) / VLOOKUP("LULUCF|PM25|Infant mortality", US_national_yearly!$D:$AM, 10, FALSE), 1)</f>
        <v>7.0946244977824778E-8</v>
      </c>
      <c r="AB3" s="7">
        <f>$B3 * IFERROR(VLOOKUP("LULUCF|PM25|Infant mortality", US_national_yearly!$D:$AM, 36, FALSE) / VLOOKUP("LULUCF|PM25|Infant mortality", US_national_yearly!$D:$AM, 10, FALSE), 1)</f>
        <v>7.0510865047532738E-8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3.2253002555336321E-4</v>
      </c>
      <c r="C6" s="7">
        <f>$B6 * IFERROR(VLOOKUP("LULUCF|PM25|Asthma symptoms cough", US_national_yearly!$D:$AM, 11, FALSE) / VLOOKUP("LULUCF|PM25|Asthma symptoms cough", US_national_yearly!$D:$AM, 10, FALSE), 1)</f>
        <v>3.2253002555336321E-4</v>
      </c>
      <c r="D6" s="7">
        <f>$B6 * IFERROR(VLOOKUP("LULUCF|PM25|Asthma symptoms cough", US_national_yearly!$D:$AM, 12, FALSE) / VLOOKUP("LULUCF|PM25|Asthma symptoms cough", US_national_yearly!$D:$AM, 10, FALSE), 1)</f>
        <v>3.2253002555336321E-4</v>
      </c>
      <c r="E6" s="7">
        <f>$B6 * IFERROR(VLOOKUP("LULUCF|PM25|Asthma symptoms cough", US_national_yearly!$D:$AM, 13, FALSE) / VLOOKUP("LULUCF|PM25|Asthma symptoms cough", US_national_yearly!$D:$AM, 10, FALSE), 1)</f>
        <v>3.2253002555336321E-4</v>
      </c>
      <c r="F6" s="7">
        <f>$B6 * IFERROR(VLOOKUP("LULUCF|PM25|Asthma symptoms cough", US_national_yearly!$D:$AM, 14, FALSE) / VLOOKUP("LULUCF|PM25|Asthma symptoms cough", US_national_yearly!$D:$AM, 10, FALSE), 1)</f>
        <v>3.2253002555336321E-4</v>
      </c>
      <c r="G6" s="7">
        <f>$B6 * IFERROR(VLOOKUP("LULUCF|PM25|Asthma symptoms cough", US_national_yearly!$D:$AM, 15, FALSE) / VLOOKUP("LULUCF|PM25|Asthma symptoms cough", US_national_yearly!$D:$AM, 10, FALSE), 1)</f>
        <v>3.2253002555336321E-4</v>
      </c>
      <c r="H6" s="7">
        <f>$B6 * IFERROR(VLOOKUP("LULUCF|PM25|Asthma symptoms cough", US_national_yearly!$D:$AM, 16, FALSE) / VLOOKUP("LULUCF|PM25|Asthma symptoms cough", US_national_yearly!$D:$AM, 10, FALSE), 1)</f>
        <v>3.2253002555336321E-4</v>
      </c>
      <c r="I6" s="7">
        <f>$B6 * IFERROR(VLOOKUP("LULUCF|PM25|Asthma symptoms cough", US_national_yearly!$D:$AM, 17, FALSE) / VLOOKUP("LULUCF|PM25|Asthma symptoms cough", US_national_yearly!$D:$AM, 10, FALSE), 1)</f>
        <v>3.2253002555336321E-4</v>
      </c>
      <c r="J6" s="7">
        <f>$B6 * IFERROR(VLOOKUP("LULUCF|PM25|Asthma symptoms cough", US_national_yearly!$D:$AM, 18, FALSE) / VLOOKUP("LULUCF|PM25|Asthma symptoms cough", US_national_yearly!$D:$AM, 10, FALSE), 1)</f>
        <v>3.2253002555336321E-4</v>
      </c>
      <c r="K6" s="7">
        <f>$B6 * IFERROR(VLOOKUP("LULUCF|PM25|Asthma symptoms cough", US_national_yearly!$D:$AM, 19, FALSE) / VLOOKUP("LULUCF|PM25|Asthma symptoms cough", US_national_yearly!$D:$AM, 10, FALSE), 1)</f>
        <v>3.2253002555336321E-4</v>
      </c>
      <c r="L6" s="7">
        <f>$B6 * IFERROR(VLOOKUP("LULUCF|PM25|Asthma symptoms cough", US_national_yearly!$D:$AM, 20, FALSE) / VLOOKUP("LULUCF|PM25|Asthma symptoms cough", US_national_yearly!$D:$AM, 10, FALSE), 1)</f>
        <v>3.2253002555336321E-4</v>
      </c>
      <c r="M6" s="7">
        <f>$B6 * IFERROR(VLOOKUP("LULUCF|PM25|Asthma symptoms cough", US_national_yearly!$D:$AM, 21, FALSE) / VLOOKUP("LULUCF|PM25|Asthma symptoms cough", US_national_yearly!$D:$AM, 10, FALSE), 1)</f>
        <v>3.2253002555336321E-4</v>
      </c>
      <c r="N6" s="7">
        <f>$B6 * IFERROR(VLOOKUP("LULUCF|PM25|Asthma symptoms cough", US_national_yearly!$D:$AM, 22, FALSE) / VLOOKUP("LULUCF|PM25|Asthma symptoms cough", US_national_yearly!$D:$AM, 10, FALSE), 1)</f>
        <v>3.2253002555336321E-4</v>
      </c>
      <c r="O6" s="7">
        <f>$B6 * IFERROR(VLOOKUP("LULUCF|PM25|Asthma symptoms cough", US_national_yearly!$D:$AM, 23, FALSE) / VLOOKUP("LULUCF|PM25|Asthma symptoms cough", US_national_yearly!$D:$AM, 10, FALSE), 1)</f>
        <v>3.2253002555336321E-4</v>
      </c>
      <c r="P6" s="7">
        <f>$B6 * IFERROR(VLOOKUP("LULUCF|PM25|Asthma symptoms cough", US_national_yearly!$D:$AM, 24, FALSE) / VLOOKUP("LULUCF|PM25|Asthma symptoms cough", US_national_yearly!$D:$AM, 10, FALSE), 1)</f>
        <v>3.2253002555336321E-4</v>
      </c>
      <c r="Q6" s="7">
        <f>$B6 * IFERROR(VLOOKUP("LULUCF|PM25|Asthma symptoms cough", US_national_yearly!$D:$AM, 25, FALSE) / VLOOKUP("LULUCF|PM25|Asthma symptoms cough", US_national_yearly!$D:$AM, 10, FALSE), 1)</f>
        <v>3.2253002555336321E-4</v>
      </c>
      <c r="R6" s="7">
        <f>$B6 * IFERROR(VLOOKUP("LULUCF|PM25|Asthma symptoms cough", US_national_yearly!$D:$AM, 26, FALSE) / VLOOKUP("LULUCF|PM25|Asthma symptoms cough", US_national_yearly!$D:$AM, 10, FALSE), 1)</f>
        <v>3.2253002555336321E-4</v>
      </c>
      <c r="S6" s="7">
        <f>$B6 * IFERROR(VLOOKUP("LULUCF|PM25|Asthma symptoms cough", US_national_yearly!$D:$AM, 27, FALSE) / VLOOKUP("LULUCF|PM25|Asthma symptoms cough", US_national_yearly!$D:$AM, 10, FALSE), 1)</f>
        <v>3.2253002555336321E-4</v>
      </c>
      <c r="T6" s="7">
        <f>$B6 * IFERROR(VLOOKUP("LULUCF|PM25|Asthma symptoms cough", US_national_yearly!$D:$AM, 28, FALSE) / VLOOKUP("LULUCF|PM25|Asthma symptoms cough", US_national_yearly!$D:$AM, 10, FALSE), 1)</f>
        <v>3.2253002555336321E-4</v>
      </c>
      <c r="U6" s="7">
        <f>$B6 * IFERROR(VLOOKUP("LULUCF|PM25|Asthma symptoms cough", US_national_yearly!$D:$AM, 29, FALSE) / VLOOKUP("LULUCF|PM25|Asthma symptoms cough", US_national_yearly!$D:$AM, 10, FALSE), 1)</f>
        <v>3.2253002555336321E-4</v>
      </c>
      <c r="V6" s="7">
        <f>$B6 * IFERROR(VLOOKUP("LULUCF|PM25|Asthma symptoms cough", US_national_yearly!$D:$AM, 30, FALSE) / VLOOKUP("LULUCF|PM25|Asthma symptoms cough", US_national_yearly!$D:$AM, 10, FALSE), 1)</f>
        <v>3.2253002555336321E-4</v>
      </c>
      <c r="W6" s="7">
        <f>$B6 * IFERROR(VLOOKUP("LULUCF|PM25|Asthma symptoms cough", US_national_yearly!$D:$AM, 31, FALSE) / VLOOKUP("LULUCF|PM25|Asthma symptoms cough", US_national_yearly!$D:$AM, 10, FALSE), 1)</f>
        <v>3.2253002555336321E-4</v>
      </c>
      <c r="X6" s="7">
        <f>$B6 * IFERROR(VLOOKUP("LULUCF|PM25|Asthma symptoms cough", US_national_yearly!$D:$AM, 32, FALSE) / VLOOKUP("LULUCF|PM25|Asthma symptoms cough", US_national_yearly!$D:$AM, 10, FALSE), 1)</f>
        <v>3.2253002555336321E-4</v>
      </c>
      <c r="Y6" s="7">
        <f>$B6 * IFERROR(VLOOKUP("LULUCF|PM25|Asthma symptoms cough", US_national_yearly!$D:$AM, 33, FALSE) / VLOOKUP("LULUCF|PM25|Asthma symptoms cough", US_national_yearly!$D:$AM, 10, FALSE), 1)</f>
        <v>3.2253002555336321E-4</v>
      </c>
      <c r="Z6" s="7">
        <f>$B6 * IFERROR(VLOOKUP("LULUCF|PM25|Asthma symptoms cough", US_national_yearly!$D:$AM, 34, FALSE) / VLOOKUP("LULUCF|PM25|Asthma symptoms cough", US_national_yearly!$D:$AM, 10, FALSE), 1)</f>
        <v>3.2253002555336321E-4</v>
      </c>
      <c r="AA6" s="7">
        <f>$B6 * IFERROR(VLOOKUP("LULUCF|PM25|Asthma symptoms cough", US_national_yearly!$D:$AM, 35, FALSE) / VLOOKUP("LULUCF|PM25|Asthma symptoms cough", US_national_yearly!$D:$AM, 10, FALSE), 1)</f>
        <v>3.2253002555336321E-4</v>
      </c>
      <c r="AB6" s="7">
        <f>$B6 * IFERROR(VLOOKUP("LULUCF|PM25|Asthma symptoms cough", US_national_yearly!$D:$AM, 36, FALSE) / VLOOKUP("LULUCF|PM25|Asthma symptoms cough", US_national_yearly!$D:$AM, 10, FALSE), 1)</f>
        <v>3.2253002555336321E-4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4.3433291928949349E-4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4.3433291928949349E-4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4.3433291928949349E-4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4.3433291928949349E-4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4.3433291928949349E-4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4.3433291928949349E-4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4.3433291928949349E-4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4.3433291928949349E-4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4.3433291928949349E-4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4.3433291928949349E-4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4.3433291928949349E-4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4.3433291928949349E-4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4.3433291928949349E-4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4.3433291928949349E-4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4.3433291928949349E-4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4.3433291928949349E-4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4.3433291928949349E-4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4.3433291928949349E-4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4.3433291928949349E-4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4.3433291928949349E-4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4.3433291928949349E-4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4.3433291928949349E-4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4.3433291928949349E-4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4.3433291928949349E-4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4.3433291928949349E-4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4.3433291928949349E-4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4.3433291928949349E-4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6.6358909202215099E-4</v>
      </c>
      <c r="C8" s="7">
        <f>$B8 * IFERROR(VLOOKUP("LULUCF|PM25|Asthma symptoms wheeze", US_national_yearly!$D:$AM, 11, FALSE) / VLOOKUP("LULUCF|PM25|Asthma symptoms wheeze", US_national_yearly!$D:$AM, 10, FALSE), 1)</f>
        <v>6.6358909202215099E-4</v>
      </c>
      <c r="D8" s="7">
        <f>$B8 * IFERROR(VLOOKUP("LULUCF|PM25|Asthma symptoms wheeze", US_national_yearly!$D:$AM, 12, FALSE) / VLOOKUP("LULUCF|PM25|Asthma symptoms wheeze", US_national_yearly!$D:$AM, 10, FALSE), 1)</f>
        <v>6.6358909202215099E-4</v>
      </c>
      <c r="E8" s="7">
        <f>$B8 * IFERROR(VLOOKUP("LULUCF|PM25|Asthma symptoms wheeze", US_national_yearly!$D:$AM, 13, FALSE) / VLOOKUP("LULUCF|PM25|Asthma symptoms wheeze", US_national_yearly!$D:$AM, 10, FALSE), 1)</f>
        <v>6.6358909202215099E-4</v>
      </c>
      <c r="F8" s="7">
        <f>$B8 * IFERROR(VLOOKUP("LULUCF|PM25|Asthma symptoms wheeze", US_national_yearly!$D:$AM, 14, FALSE) / VLOOKUP("LULUCF|PM25|Asthma symptoms wheeze", US_national_yearly!$D:$AM, 10, FALSE), 1)</f>
        <v>6.6358909202215099E-4</v>
      </c>
      <c r="G8" s="7">
        <f>$B8 * IFERROR(VLOOKUP("LULUCF|PM25|Asthma symptoms wheeze", US_national_yearly!$D:$AM, 15, FALSE) / VLOOKUP("LULUCF|PM25|Asthma symptoms wheeze", US_national_yearly!$D:$AM, 10, FALSE), 1)</f>
        <v>6.6358909202215099E-4</v>
      </c>
      <c r="H8" s="7">
        <f>$B8 * IFERROR(VLOOKUP("LULUCF|PM25|Asthma symptoms wheeze", US_national_yearly!$D:$AM, 16, FALSE) / VLOOKUP("LULUCF|PM25|Asthma symptoms wheeze", US_national_yearly!$D:$AM, 10, FALSE), 1)</f>
        <v>6.6358909202215099E-4</v>
      </c>
      <c r="I8" s="7">
        <f>$B8 * IFERROR(VLOOKUP("LULUCF|PM25|Asthma symptoms wheeze", US_national_yearly!$D:$AM, 17, FALSE) / VLOOKUP("LULUCF|PM25|Asthma symptoms wheeze", US_national_yearly!$D:$AM, 10, FALSE), 1)</f>
        <v>6.6358909202215099E-4</v>
      </c>
      <c r="J8" s="7">
        <f>$B8 * IFERROR(VLOOKUP("LULUCF|PM25|Asthma symptoms wheeze", US_national_yearly!$D:$AM, 18, FALSE) / VLOOKUP("LULUCF|PM25|Asthma symptoms wheeze", US_national_yearly!$D:$AM, 10, FALSE), 1)</f>
        <v>6.6358909202215099E-4</v>
      </c>
      <c r="K8" s="7">
        <f>$B8 * IFERROR(VLOOKUP("LULUCF|PM25|Asthma symptoms wheeze", US_national_yearly!$D:$AM, 19, FALSE) / VLOOKUP("LULUCF|PM25|Asthma symptoms wheeze", US_national_yearly!$D:$AM, 10, FALSE), 1)</f>
        <v>6.6358909202215099E-4</v>
      </c>
      <c r="L8" s="7">
        <f>$B8 * IFERROR(VLOOKUP("LULUCF|PM25|Asthma symptoms wheeze", US_national_yearly!$D:$AM, 20, FALSE) / VLOOKUP("LULUCF|PM25|Asthma symptoms wheeze", US_national_yearly!$D:$AM, 10, FALSE), 1)</f>
        <v>6.6358909202215099E-4</v>
      </c>
      <c r="M8" s="7">
        <f>$B8 * IFERROR(VLOOKUP("LULUCF|PM25|Asthma symptoms wheeze", US_national_yearly!$D:$AM, 21, FALSE) / VLOOKUP("LULUCF|PM25|Asthma symptoms wheeze", US_national_yearly!$D:$AM, 10, FALSE), 1)</f>
        <v>6.6358909202215099E-4</v>
      </c>
      <c r="N8" s="7">
        <f>$B8 * IFERROR(VLOOKUP("LULUCF|PM25|Asthma symptoms wheeze", US_national_yearly!$D:$AM, 22, FALSE) / VLOOKUP("LULUCF|PM25|Asthma symptoms wheeze", US_national_yearly!$D:$AM, 10, FALSE), 1)</f>
        <v>6.6358909202215099E-4</v>
      </c>
      <c r="O8" s="7">
        <f>$B8 * IFERROR(VLOOKUP("LULUCF|PM25|Asthma symptoms wheeze", US_national_yearly!$D:$AM, 23, FALSE) / VLOOKUP("LULUCF|PM25|Asthma symptoms wheeze", US_national_yearly!$D:$AM, 10, FALSE), 1)</f>
        <v>6.6358909202215099E-4</v>
      </c>
      <c r="P8" s="7">
        <f>$B8 * IFERROR(VLOOKUP("LULUCF|PM25|Asthma symptoms wheeze", US_national_yearly!$D:$AM, 24, FALSE) / VLOOKUP("LULUCF|PM25|Asthma symptoms wheeze", US_national_yearly!$D:$AM, 10, FALSE), 1)</f>
        <v>6.6358909202215099E-4</v>
      </c>
      <c r="Q8" s="7">
        <f>$B8 * IFERROR(VLOOKUP("LULUCF|PM25|Asthma symptoms wheeze", US_national_yearly!$D:$AM, 25, FALSE) / VLOOKUP("LULUCF|PM25|Asthma symptoms wheeze", US_national_yearly!$D:$AM, 10, FALSE), 1)</f>
        <v>6.6358909202215099E-4</v>
      </c>
      <c r="R8" s="7">
        <f>$B8 * IFERROR(VLOOKUP("LULUCF|PM25|Asthma symptoms wheeze", US_national_yearly!$D:$AM, 26, FALSE) / VLOOKUP("LULUCF|PM25|Asthma symptoms wheeze", US_national_yearly!$D:$AM, 10, FALSE), 1)</f>
        <v>6.6358909202215099E-4</v>
      </c>
      <c r="S8" s="7">
        <f>$B8 * IFERROR(VLOOKUP("LULUCF|PM25|Asthma symptoms wheeze", US_national_yearly!$D:$AM, 27, FALSE) / VLOOKUP("LULUCF|PM25|Asthma symptoms wheeze", US_national_yearly!$D:$AM, 10, FALSE), 1)</f>
        <v>6.6358909202215099E-4</v>
      </c>
      <c r="T8" s="7">
        <f>$B8 * IFERROR(VLOOKUP("LULUCF|PM25|Asthma symptoms wheeze", US_national_yearly!$D:$AM, 28, FALSE) / VLOOKUP("LULUCF|PM25|Asthma symptoms wheeze", US_national_yearly!$D:$AM, 10, FALSE), 1)</f>
        <v>6.6358909202215099E-4</v>
      </c>
      <c r="U8" s="7">
        <f>$B8 * IFERROR(VLOOKUP("LULUCF|PM25|Asthma symptoms wheeze", US_national_yearly!$D:$AM, 29, FALSE) / VLOOKUP("LULUCF|PM25|Asthma symptoms wheeze", US_national_yearly!$D:$AM, 10, FALSE), 1)</f>
        <v>6.6358909202215099E-4</v>
      </c>
      <c r="V8" s="7">
        <f>$B8 * IFERROR(VLOOKUP("LULUCF|PM25|Asthma symptoms wheeze", US_national_yearly!$D:$AM, 30, FALSE) / VLOOKUP("LULUCF|PM25|Asthma symptoms wheeze", US_national_yearly!$D:$AM, 10, FALSE), 1)</f>
        <v>6.6358909202215099E-4</v>
      </c>
      <c r="W8" s="7">
        <f>$B8 * IFERROR(VLOOKUP("LULUCF|PM25|Asthma symptoms wheeze", US_national_yearly!$D:$AM, 31, FALSE) / VLOOKUP("LULUCF|PM25|Asthma symptoms wheeze", US_national_yearly!$D:$AM, 10, FALSE), 1)</f>
        <v>6.6358909202215099E-4</v>
      </c>
      <c r="X8" s="7">
        <f>$B8 * IFERROR(VLOOKUP("LULUCF|PM25|Asthma symptoms wheeze", US_national_yearly!$D:$AM, 32, FALSE) / VLOOKUP("LULUCF|PM25|Asthma symptoms wheeze", US_national_yearly!$D:$AM, 10, FALSE), 1)</f>
        <v>6.6358909202215099E-4</v>
      </c>
      <c r="Y8" s="7">
        <f>$B8 * IFERROR(VLOOKUP("LULUCF|PM25|Asthma symptoms wheeze", US_national_yearly!$D:$AM, 33, FALSE) / VLOOKUP("LULUCF|PM25|Asthma symptoms wheeze", US_national_yearly!$D:$AM, 10, FALSE), 1)</f>
        <v>6.6358909202215099E-4</v>
      </c>
      <c r="Z8" s="7">
        <f>$B8 * IFERROR(VLOOKUP("LULUCF|PM25|Asthma symptoms wheeze", US_national_yearly!$D:$AM, 34, FALSE) / VLOOKUP("LULUCF|PM25|Asthma symptoms wheeze", US_national_yearly!$D:$AM, 10, FALSE), 1)</f>
        <v>6.6358909202215099E-4</v>
      </c>
      <c r="AA8" s="7">
        <f>$B8 * IFERROR(VLOOKUP("LULUCF|PM25|Asthma symptoms wheeze", US_national_yearly!$D:$AM, 35, FALSE) / VLOOKUP("LULUCF|PM25|Asthma symptoms wheeze", US_national_yearly!$D:$AM, 10, FALSE), 1)</f>
        <v>6.6358909202215099E-4</v>
      </c>
      <c r="AB8" s="7">
        <f>$B8 * IFERROR(VLOOKUP("LULUCF|PM25|Asthma symptoms wheeze", US_national_yearly!$D:$AM, 36, FALSE) / VLOOKUP("LULUCF|PM25|Asthma symptoms wheeze", US_national_yearly!$D:$AM, 10, FALSE), 1)</f>
        <v>6.6358909202215099E-4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1.248548544619985E-5</v>
      </c>
      <c r="C12" s="7">
        <f>$B12 * IFERROR(VLOOKUP("LULUCF|PM25|Respiratory hospital admissions", US_national_yearly!$D:$AM, 11, FALSE) / VLOOKUP("LULUCF|PM25|Respiratory hospital admissions", US_national_yearly!$D:$AM, 10, FALSE), 1)</f>
        <v>1.2557047216415755E-5</v>
      </c>
      <c r="D12" s="7">
        <f>$B12 * IFERROR(VLOOKUP("LULUCF|PM25|Respiratory hospital admissions", US_national_yearly!$D:$AM, 12, FALSE) / VLOOKUP("LULUCF|PM25|Respiratory hospital admissions", US_national_yearly!$D:$AM, 10, FALSE), 1)</f>
        <v>1.2628608986631656E-5</v>
      </c>
      <c r="E12" s="7">
        <f>$B12 * IFERROR(VLOOKUP("LULUCF|PM25|Respiratory hospital admissions", US_national_yearly!$D:$AM, 13, FALSE) / VLOOKUP("LULUCF|PM25|Respiratory hospital admissions", US_national_yearly!$D:$AM, 10, FALSE), 1)</f>
        <v>1.2700170756847559E-5</v>
      </c>
      <c r="F12" s="7">
        <f>$B12 * IFERROR(VLOOKUP("LULUCF|PM25|Respiratory hospital admissions", US_national_yearly!$D:$AM, 14, FALSE) / VLOOKUP("LULUCF|PM25|Respiratory hospital admissions", US_national_yearly!$D:$AM, 10, FALSE), 1)</f>
        <v>1.2771732527063461E-5</v>
      </c>
      <c r="G12" s="7">
        <f>$B12 * IFERROR(VLOOKUP("LULUCF|PM25|Respiratory hospital admissions", US_national_yearly!$D:$AM, 15, FALSE) / VLOOKUP("LULUCF|PM25|Respiratory hospital admissions", US_national_yearly!$D:$AM, 10, FALSE), 1)</f>
        <v>1.2849022291383673E-5</v>
      </c>
      <c r="H12" s="7">
        <f>$B12 * IFERROR(VLOOKUP("LULUCF|PM25|Respiratory hospital admissions", US_national_yearly!$D:$AM, 16, FALSE) / VLOOKUP("LULUCF|PM25|Respiratory hospital admissions", US_national_yearly!$D:$AM, 10, FALSE), 1)</f>
        <v>1.2926312055703885E-5</v>
      </c>
      <c r="I12" s="7">
        <f>$B12 * IFERROR(VLOOKUP("LULUCF|PM25|Respiratory hospital admissions", US_national_yearly!$D:$AM, 17, FALSE) / VLOOKUP("LULUCF|PM25|Respiratory hospital admissions", US_national_yearly!$D:$AM, 10, FALSE), 1)</f>
        <v>1.300015948900226E-5</v>
      </c>
      <c r="J12" s="7">
        <f>$B12 * IFERROR(VLOOKUP("LULUCF|PM25|Respiratory hospital admissions", US_national_yearly!$D:$AM, 18, FALSE) / VLOOKUP("LULUCF|PM25|Respiratory hospital admissions", US_national_yearly!$D:$AM, 10, FALSE), 1)</f>
        <v>1.3074006922300641E-5</v>
      </c>
      <c r="K12" s="7">
        <f>$B12 * IFERROR(VLOOKUP("LULUCF|PM25|Respiratory hospital admissions", US_national_yearly!$D:$AM, 19, FALSE) / VLOOKUP("LULUCF|PM25|Respiratory hospital admissions", US_national_yearly!$D:$AM, 10, FALSE), 1)</f>
        <v>1.314785435559902E-5</v>
      </c>
      <c r="L12" s="7">
        <f>$B12 * IFERROR(VLOOKUP("LULUCF|PM25|Respiratory hospital admissions", US_national_yearly!$D:$AM, 20, FALSE) / VLOOKUP("LULUCF|PM25|Respiratory hospital admissions", US_national_yearly!$D:$AM, 10, FALSE), 1)</f>
        <v>1.32217017888974E-5</v>
      </c>
      <c r="M12" s="7">
        <f>$B12 * IFERROR(VLOOKUP("LULUCF|PM25|Respiratory hospital admissions", US_national_yearly!$D:$AM, 21, FALSE) / VLOOKUP("LULUCF|PM25|Respiratory hospital admissions", US_national_yearly!$D:$AM, 10, FALSE), 1)</f>
        <v>1.3295549222195776E-5</v>
      </c>
      <c r="N12" s="7">
        <f>$B12 * IFERROR(VLOOKUP("LULUCF|PM25|Respiratory hospital admissions", US_national_yearly!$D:$AM, 22, FALSE) / VLOOKUP("LULUCF|PM25|Respiratory hospital admissions", US_national_yearly!$D:$AM, 10, FALSE), 1)</f>
        <v>1.3348551680077196E-5</v>
      </c>
      <c r="O12" s="7">
        <f>$B12 * IFERROR(VLOOKUP("LULUCF|PM25|Respiratory hospital admissions", US_national_yearly!$D:$AM, 23, FALSE) / VLOOKUP("LULUCF|PM25|Respiratory hospital admissions", US_national_yearly!$D:$AM, 10, FALSE), 1)</f>
        <v>1.3401554137958611E-5</v>
      </c>
      <c r="P12" s="7">
        <f>$B12 * IFERROR(VLOOKUP("LULUCF|PM25|Respiratory hospital admissions", US_national_yearly!$D:$AM, 24, FALSE) / VLOOKUP("LULUCF|PM25|Respiratory hospital admissions", US_national_yearly!$D:$AM, 10, FALSE), 1)</f>
        <v>1.3454556595840024E-5</v>
      </c>
      <c r="Q12" s="7">
        <f>$B12 * IFERROR(VLOOKUP("LULUCF|PM25|Respiratory hospital admissions", US_national_yearly!$D:$AM, 25, FALSE) / VLOOKUP("LULUCF|PM25|Respiratory hospital admissions", US_national_yearly!$D:$AM, 10, FALSE), 1)</f>
        <v>1.350755905372144E-5</v>
      </c>
      <c r="R12" s="7">
        <f>$B12 * IFERROR(VLOOKUP("LULUCF|PM25|Respiratory hospital admissions", US_national_yearly!$D:$AM, 26, FALSE) / VLOOKUP("LULUCF|PM25|Respiratory hospital admissions", US_national_yearly!$D:$AM, 10, FALSE), 1)</f>
        <v>1.3560561511602859E-5</v>
      </c>
      <c r="S12" s="7">
        <f>$B12 * IFERROR(VLOOKUP("LULUCF|PM25|Respiratory hospital admissions", US_national_yearly!$D:$AM, 27, FALSE) / VLOOKUP("LULUCF|PM25|Respiratory hospital admissions", US_national_yearly!$D:$AM, 10, FALSE), 1)</f>
        <v>1.3611026835526952E-5</v>
      </c>
      <c r="T12" s="7">
        <f>$B12 * IFERROR(VLOOKUP("LULUCF|PM25|Respiratory hospital admissions", US_national_yearly!$D:$AM, 28, FALSE) / VLOOKUP("LULUCF|PM25|Respiratory hospital admissions", US_national_yearly!$D:$AM, 10, FALSE), 1)</f>
        <v>1.3661492159451048E-5</v>
      </c>
      <c r="U12" s="7">
        <f>$B12 * IFERROR(VLOOKUP("LULUCF|PM25|Respiratory hospital admissions", US_national_yearly!$D:$AM, 29, FALSE) / VLOOKUP("LULUCF|PM25|Respiratory hospital admissions", US_national_yearly!$D:$AM, 10, FALSE), 1)</f>
        <v>1.3711957483375141E-5</v>
      </c>
      <c r="V12" s="7">
        <f>$B12 * IFERROR(VLOOKUP("LULUCF|PM25|Respiratory hospital admissions", US_national_yearly!$D:$AM, 30, FALSE) / VLOOKUP("LULUCF|PM25|Respiratory hospital admissions", US_national_yearly!$D:$AM, 10, FALSE), 1)</f>
        <v>1.3762422807299236E-5</v>
      </c>
      <c r="W12" s="7">
        <f>$B12 * IFERROR(VLOOKUP("LULUCF|PM25|Respiratory hospital admissions", US_national_yearly!$D:$AM, 31, FALSE) / VLOOKUP("LULUCF|PM25|Respiratory hospital admissions", US_national_yearly!$D:$AM, 10, FALSE), 1)</f>
        <v>1.3812888131223328E-5</v>
      </c>
      <c r="X12" s="7">
        <f>$B12 * IFERROR(VLOOKUP("LULUCF|PM25|Respiratory hospital admissions", US_national_yearly!$D:$AM, 32, FALSE) / VLOOKUP("LULUCF|PM25|Respiratory hospital admissions", US_national_yearly!$D:$AM, 10, FALSE), 1)</f>
        <v>1.3861436416582568E-5</v>
      </c>
      <c r="Y12" s="7">
        <f>$B12 * IFERROR(VLOOKUP("LULUCF|PM25|Respiratory hospital admissions", US_national_yearly!$D:$AM, 33, FALSE) / VLOOKUP("LULUCF|PM25|Respiratory hospital admissions", US_national_yearly!$D:$AM, 10, FALSE), 1)</f>
        <v>1.3909984701941801E-5</v>
      </c>
      <c r="Z12" s="7">
        <f>$B12 * IFERROR(VLOOKUP("LULUCF|PM25|Respiratory hospital admissions", US_national_yearly!$D:$AM, 34, FALSE) / VLOOKUP("LULUCF|PM25|Respiratory hospital admissions", US_national_yearly!$D:$AM, 10, FALSE), 1)</f>
        <v>1.3958532987301037E-5</v>
      </c>
      <c r="AA12" s="7">
        <f>$B12 * IFERROR(VLOOKUP("LULUCF|PM25|Respiratory hospital admissions", US_national_yearly!$D:$AM, 35, FALSE) / VLOOKUP("LULUCF|PM25|Respiratory hospital admissions", US_national_yearly!$D:$AM, 10, FALSE), 1)</f>
        <v>1.400708127266027E-5</v>
      </c>
      <c r="AB12" s="7">
        <f>$B12 * IFERROR(VLOOKUP("LULUCF|PM25|Respiratory hospital admissions", US_national_yearly!$D:$AM, 36, FALSE) / VLOOKUP("LULUCF|PM25|Respiratory hospital admissions", US_national_yearly!$D:$AM, 10, FALSE), 1)</f>
        <v>1.4055629558019506E-5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5.5196891160446365E-5</v>
      </c>
      <c r="C13" s="7">
        <f>$B13 * IFERROR(VLOOKUP("LULUCF|PM25|Non-fatal heart attacks", US_national_yearly!$D:$AM, 11, FALSE) / VLOOKUP("LULUCF|PM25|Non-fatal heart attacks", US_national_yearly!$D:$AM, 10, FALSE), 1)</f>
        <v>5.6801611262265536E-5</v>
      </c>
      <c r="D13" s="7">
        <f>$B13 * IFERROR(VLOOKUP("LULUCF|PM25|Non-fatal heart attacks", US_national_yearly!$D:$AM, 12, FALSE) / VLOOKUP("LULUCF|PM25|Non-fatal heart attacks", US_national_yearly!$D:$AM, 10, FALSE), 1)</f>
        <v>5.8406331364084707E-5</v>
      </c>
      <c r="E13" s="7">
        <f>$B13 * IFERROR(VLOOKUP("LULUCF|PM25|Non-fatal heart attacks", US_national_yearly!$D:$AM, 13, FALSE) / VLOOKUP("LULUCF|PM25|Non-fatal heart attacks", US_national_yearly!$D:$AM, 10, FALSE), 1)</f>
        <v>6.0011051465903871E-5</v>
      </c>
      <c r="F13" s="7">
        <f>$B13 * IFERROR(VLOOKUP("LULUCF|PM25|Non-fatal heart attacks", US_national_yearly!$D:$AM, 14, FALSE) / VLOOKUP("LULUCF|PM25|Non-fatal heart attacks", US_national_yearly!$D:$AM, 10, FALSE), 1)</f>
        <v>6.1615771567723055E-5</v>
      </c>
      <c r="G13" s="7">
        <f>$B13 * IFERROR(VLOOKUP("LULUCF|PM25|Non-fatal heart attacks", US_national_yearly!$D:$AM, 15, FALSE) / VLOOKUP("LULUCF|PM25|Non-fatal heart attacks", US_national_yearly!$D:$AM, 10, FALSE), 1)</f>
        <v>6.3129124072176576E-5</v>
      </c>
      <c r="H13" s="7">
        <f>$B13 * IFERROR(VLOOKUP("LULUCF|PM25|Non-fatal heart attacks", US_national_yearly!$D:$AM, 16, FALSE) / VLOOKUP("LULUCF|PM25|Non-fatal heart attacks", US_national_yearly!$D:$AM, 10, FALSE), 1)</f>
        <v>6.4642476576630084E-5</v>
      </c>
      <c r="I13" s="7">
        <f>$B13 * IFERROR(VLOOKUP("LULUCF|PM25|Non-fatal heart attacks", US_national_yearly!$D:$AM, 17, FALSE) / VLOOKUP("LULUCF|PM25|Non-fatal heart attacks", US_national_yearly!$D:$AM, 10, FALSE), 1)</f>
        <v>6.5858708414589636E-5</v>
      </c>
      <c r="J13" s="7">
        <f>$B13 * IFERROR(VLOOKUP("LULUCF|PM25|Non-fatal heart attacks", US_national_yearly!$D:$AM, 18, FALSE) / VLOOKUP("LULUCF|PM25|Non-fatal heart attacks", US_national_yearly!$D:$AM, 10, FALSE), 1)</f>
        <v>6.7074940252549175E-5</v>
      </c>
      <c r="K13" s="7">
        <f>$B13 * IFERROR(VLOOKUP("LULUCF|PM25|Non-fatal heart attacks", US_national_yearly!$D:$AM, 19, FALSE) / VLOOKUP("LULUCF|PM25|Non-fatal heart attacks", US_national_yearly!$D:$AM, 10, FALSE), 1)</f>
        <v>6.8291172090508741E-5</v>
      </c>
      <c r="L13" s="7">
        <f>$B13 * IFERROR(VLOOKUP("LULUCF|PM25|Non-fatal heart attacks", US_national_yearly!$D:$AM, 20, FALSE) / VLOOKUP("LULUCF|PM25|Non-fatal heart attacks", US_national_yearly!$D:$AM, 10, FALSE), 1)</f>
        <v>6.950740392846828E-5</v>
      </c>
      <c r="M13" s="7">
        <f>$B13 * IFERROR(VLOOKUP("LULUCF|PM25|Non-fatal heart attacks", US_national_yearly!$D:$AM, 21, FALSE) / VLOOKUP("LULUCF|PM25|Non-fatal heart attacks", US_national_yearly!$D:$AM, 10, FALSE), 1)</f>
        <v>7.0723635766427832E-5</v>
      </c>
      <c r="N13" s="7">
        <f>$B13 * IFERROR(VLOOKUP("LULUCF|PM25|Non-fatal heart attacks", US_national_yearly!$D:$AM, 22, FALSE) / VLOOKUP("LULUCF|PM25|Non-fatal heart attacks", US_national_yearly!$D:$AM, 10, FALSE), 1)</f>
        <v>7.1507985204515508E-5</v>
      </c>
      <c r="O13" s="7">
        <f>$B13 * IFERROR(VLOOKUP("LULUCF|PM25|Non-fatal heart attacks", US_national_yearly!$D:$AM, 23, FALSE) / VLOOKUP("LULUCF|PM25|Non-fatal heart attacks", US_national_yearly!$D:$AM, 10, FALSE), 1)</f>
        <v>7.2292334642603198E-5</v>
      </c>
      <c r="P13" s="7">
        <f>$B13 * IFERROR(VLOOKUP("LULUCF|PM25|Non-fatal heart attacks", US_national_yearly!$D:$AM, 24, FALSE) / VLOOKUP("LULUCF|PM25|Non-fatal heart attacks", US_national_yearly!$D:$AM, 10, FALSE), 1)</f>
        <v>7.3076684080690873E-5</v>
      </c>
      <c r="Q13" s="7">
        <f>$B13 * IFERROR(VLOOKUP("LULUCF|PM25|Non-fatal heart attacks", US_national_yearly!$D:$AM, 25, FALSE) / VLOOKUP("LULUCF|PM25|Non-fatal heart attacks", US_national_yearly!$D:$AM, 10, FALSE), 1)</f>
        <v>7.3861033518778549E-5</v>
      </c>
      <c r="R13" s="7">
        <f>$B13 * IFERROR(VLOOKUP("LULUCF|PM25|Non-fatal heart attacks", US_national_yearly!$D:$AM, 26, FALSE) / VLOOKUP("LULUCF|PM25|Non-fatal heart attacks", US_national_yearly!$D:$AM, 10, FALSE), 1)</f>
        <v>7.4645382956866225E-5</v>
      </c>
      <c r="S13" s="7">
        <f>$B13 * IFERROR(VLOOKUP("LULUCF|PM25|Non-fatal heart attacks", US_national_yearly!$D:$AM, 27, FALSE) / VLOOKUP("LULUCF|PM25|Non-fatal heart attacks", US_national_yearly!$D:$AM, 10, FALSE), 1)</f>
        <v>7.5058443779655627E-5</v>
      </c>
      <c r="T13" s="7">
        <f>$B13 * IFERROR(VLOOKUP("LULUCF|PM25|Non-fatal heart attacks", US_national_yearly!$D:$AM, 28, FALSE) / VLOOKUP("LULUCF|PM25|Non-fatal heart attacks", US_national_yearly!$D:$AM, 10, FALSE), 1)</f>
        <v>7.5471504602445043E-5</v>
      </c>
      <c r="U13" s="7">
        <f>$B13 * IFERROR(VLOOKUP("LULUCF|PM25|Non-fatal heart attacks", US_national_yearly!$D:$AM, 29, FALSE) / VLOOKUP("LULUCF|PM25|Non-fatal heart attacks", US_national_yearly!$D:$AM, 10, FALSE), 1)</f>
        <v>7.5884565425234473E-5</v>
      </c>
      <c r="V13" s="7">
        <f>$B13 * IFERROR(VLOOKUP("LULUCF|PM25|Non-fatal heart attacks", US_national_yearly!$D:$AM, 30, FALSE) / VLOOKUP("LULUCF|PM25|Non-fatal heart attacks", US_national_yearly!$D:$AM, 10, FALSE), 1)</f>
        <v>7.6297626248023875E-5</v>
      </c>
      <c r="W13" s="7">
        <f>$B13 * IFERROR(VLOOKUP("LULUCF|PM25|Non-fatal heart attacks", US_national_yearly!$D:$AM, 31, FALSE) / VLOOKUP("LULUCF|PM25|Non-fatal heart attacks", US_national_yearly!$D:$AM, 10, FALSE), 1)</f>
        <v>7.6710687070813278E-5</v>
      </c>
      <c r="X13" s="7">
        <f>$B13 * IFERROR(VLOOKUP("LULUCF|PM25|Non-fatal heart attacks", US_national_yearly!$D:$AM, 32, FALSE) / VLOOKUP("LULUCF|PM25|Non-fatal heart attacks", US_national_yearly!$D:$AM, 10, FALSE), 1)</f>
        <v>7.7024259962677903E-5</v>
      </c>
      <c r="Y13" s="7">
        <f>$B13 * IFERROR(VLOOKUP("LULUCF|PM25|Non-fatal heart attacks", US_national_yearly!$D:$AM, 33, FALSE) / VLOOKUP("LULUCF|PM25|Non-fatal heart attacks", US_national_yearly!$D:$AM, 10, FALSE), 1)</f>
        <v>7.7337832854542542E-5</v>
      </c>
      <c r="Z13" s="7">
        <f>$B13 * IFERROR(VLOOKUP("LULUCF|PM25|Non-fatal heart attacks", US_national_yearly!$D:$AM, 34, FALSE) / VLOOKUP("LULUCF|PM25|Non-fatal heart attacks", US_national_yearly!$D:$AM, 10, FALSE), 1)</f>
        <v>7.7651405746407155E-5</v>
      </c>
      <c r="AA13" s="7">
        <f>$B13 * IFERROR(VLOOKUP("LULUCF|PM25|Non-fatal heart attacks", US_national_yearly!$D:$AM, 35, FALSE) / VLOOKUP("LULUCF|PM25|Non-fatal heart attacks", US_national_yearly!$D:$AM, 10, FALSE), 1)</f>
        <v>7.7964978638271794E-5</v>
      </c>
      <c r="AB13" s="7">
        <f>$B13 * IFERROR(VLOOKUP("LULUCF|PM25|Non-fatal heart attacks", US_national_yearly!$D:$AM, 36, FALSE) / VLOOKUP("LULUCF|PM25|Non-fatal heart attacks", US_national_yearly!$D:$AM, 10, FALSE), 1)</f>
        <v>7.8278551530136406E-5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3.7460981159006104E-2</v>
      </c>
      <c r="C14" s="7">
        <f>$B14 * IFERROR(VLOOKUP("LULUCF|PM25|Minor restricted activity days", US_national_yearly!$D:$AM, 11, FALSE) / VLOOKUP("LULUCF|PM25|Minor restricted activity days", US_national_yearly!$D:$AM, 10, FALSE), 1)</f>
        <v>3.7552465317527262E-2</v>
      </c>
      <c r="D14" s="7">
        <f>$B14 * IFERROR(VLOOKUP("LULUCF|PM25|Minor restricted activity days", US_national_yearly!$D:$AM, 12, FALSE) / VLOOKUP("LULUCF|PM25|Minor restricted activity days", US_national_yearly!$D:$AM, 10, FALSE), 1)</f>
        <v>3.7643949476048419E-2</v>
      </c>
      <c r="E14" s="7">
        <f>$B14 * IFERROR(VLOOKUP("LULUCF|PM25|Minor restricted activity days", US_national_yearly!$D:$AM, 13, FALSE) / VLOOKUP("LULUCF|PM25|Minor restricted activity days", US_national_yearly!$D:$AM, 10, FALSE), 1)</f>
        <v>3.7735433634569583E-2</v>
      </c>
      <c r="F14" s="7">
        <f>$B14 * IFERROR(VLOOKUP("LULUCF|PM25|Minor restricted activity days", US_national_yearly!$D:$AM, 14, FALSE) / VLOOKUP("LULUCF|PM25|Minor restricted activity days", US_national_yearly!$D:$AM, 10, FALSE), 1)</f>
        <v>3.7826917793090734E-2</v>
      </c>
      <c r="G14" s="7">
        <f>$B14 * IFERROR(VLOOKUP("LULUCF|PM25|Minor restricted activity days", US_national_yearly!$D:$AM, 15, FALSE) / VLOOKUP("LULUCF|PM25|Minor restricted activity days", US_national_yearly!$D:$AM, 10, FALSE), 1)</f>
        <v>3.7961899931105096E-2</v>
      </c>
      <c r="H14" s="7">
        <f>$B14 * IFERROR(VLOOKUP("LULUCF|PM25|Minor restricted activity days", US_national_yearly!$D:$AM, 16, FALSE) / VLOOKUP("LULUCF|PM25|Minor restricted activity days", US_national_yearly!$D:$AM, 10, FALSE), 1)</f>
        <v>3.8096882069119466E-2</v>
      </c>
      <c r="I14" s="7">
        <f>$B14 * IFERROR(VLOOKUP("LULUCF|PM25|Minor restricted activity days", US_national_yearly!$D:$AM, 17, FALSE) / VLOOKUP("LULUCF|PM25|Minor restricted activity days", US_national_yearly!$D:$AM, 10, FALSE), 1)</f>
        <v>3.8327639712865701E-2</v>
      </c>
      <c r="J14" s="7">
        <f>$B14 * IFERROR(VLOOKUP("LULUCF|PM25|Minor restricted activity days", US_national_yearly!$D:$AM, 18, FALSE) / VLOOKUP("LULUCF|PM25|Minor restricted activity days", US_national_yearly!$D:$AM, 10, FALSE), 1)</f>
        <v>3.8558397356611922E-2</v>
      </c>
      <c r="K14" s="7">
        <f>$B14 * IFERROR(VLOOKUP("LULUCF|PM25|Minor restricted activity days", US_national_yearly!$D:$AM, 19, FALSE) / VLOOKUP("LULUCF|PM25|Minor restricted activity days", US_national_yearly!$D:$AM, 10, FALSE), 1)</f>
        <v>3.8789155000358157E-2</v>
      </c>
      <c r="L14" s="7">
        <f>$B14 * IFERROR(VLOOKUP("LULUCF|PM25|Minor restricted activity days", US_national_yearly!$D:$AM, 20, FALSE) / VLOOKUP("LULUCF|PM25|Minor restricted activity days", US_national_yearly!$D:$AM, 10, FALSE), 1)</f>
        <v>3.9019912644104392E-2</v>
      </c>
      <c r="M14" s="7">
        <f>$B14 * IFERROR(VLOOKUP("LULUCF|PM25|Minor restricted activity days", US_national_yearly!$D:$AM, 21, FALSE) / VLOOKUP("LULUCF|PM25|Minor restricted activity days", US_national_yearly!$D:$AM, 10, FALSE), 1)</f>
        <v>3.925067028785062E-2</v>
      </c>
      <c r="N14" s="7">
        <f>$B14 * IFERROR(VLOOKUP("LULUCF|PM25|Minor restricted activity days", US_national_yearly!$D:$AM, 22, FALSE) / VLOOKUP("LULUCF|PM25|Minor restricted activity days", US_national_yearly!$D:$AM, 10, FALSE), 1)</f>
        <v>3.9565008142398148E-2</v>
      </c>
      <c r="O14" s="7">
        <f>$B14 * IFERROR(VLOOKUP("LULUCF|PM25|Minor restricted activity days", US_national_yearly!$D:$AM, 23, FALSE) / VLOOKUP("LULUCF|PM25|Minor restricted activity days", US_national_yearly!$D:$AM, 10, FALSE), 1)</f>
        <v>3.9879345996945668E-2</v>
      </c>
      <c r="P14" s="7">
        <f>$B14 * IFERROR(VLOOKUP("LULUCF|PM25|Minor restricted activity days", US_national_yearly!$D:$AM, 24, FALSE) / VLOOKUP("LULUCF|PM25|Minor restricted activity days", US_national_yearly!$D:$AM, 10, FALSE), 1)</f>
        <v>4.0193683851493203E-2</v>
      </c>
      <c r="Q14" s="7">
        <f>$B14 * IFERROR(VLOOKUP("LULUCF|PM25|Minor restricted activity days", US_national_yearly!$D:$AM, 25, FALSE) / VLOOKUP("LULUCF|PM25|Minor restricted activity days", US_national_yearly!$D:$AM, 10, FALSE), 1)</f>
        <v>4.0508021706040724E-2</v>
      </c>
      <c r="R14" s="7">
        <f>$B14 * IFERROR(VLOOKUP("LULUCF|PM25|Minor restricted activity days", US_national_yearly!$D:$AM, 26, FALSE) / VLOOKUP("LULUCF|PM25|Minor restricted activity days", US_national_yearly!$D:$AM, 10, FALSE), 1)</f>
        <v>4.0822359560588245E-2</v>
      </c>
      <c r="S14" s="7">
        <f>$B14 * IFERROR(VLOOKUP("LULUCF|PM25|Minor restricted activity days", US_national_yearly!$D:$AM, 27, FALSE) / VLOOKUP("LULUCF|PM25|Minor restricted activity days", US_national_yearly!$D:$AM, 10, FALSE), 1)</f>
        <v>4.1138862156938003E-2</v>
      </c>
      <c r="T14" s="7">
        <f>$B14 * IFERROR(VLOOKUP("LULUCF|PM25|Minor restricted activity days", US_national_yearly!$D:$AM, 28, FALSE) / VLOOKUP("LULUCF|PM25|Minor restricted activity days", US_national_yearly!$D:$AM, 10, FALSE), 1)</f>
        <v>4.145536475328776E-2</v>
      </c>
      <c r="U14" s="7">
        <f>$B14 * IFERROR(VLOOKUP("LULUCF|PM25|Minor restricted activity days", US_national_yearly!$D:$AM, 29, FALSE) / VLOOKUP("LULUCF|PM25|Minor restricted activity days", US_national_yearly!$D:$AM, 10, FALSE), 1)</f>
        <v>4.1771867349637518E-2</v>
      </c>
      <c r="V14" s="7">
        <f>$B14 * IFERROR(VLOOKUP("LULUCF|PM25|Minor restricted activity days", US_national_yearly!$D:$AM, 30, FALSE) / VLOOKUP("LULUCF|PM25|Minor restricted activity days", US_national_yearly!$D:$AM, 10, FALSE), 1)</f>
        <v>4.2088369945987268E-2</v>
      </c>
      <c r="W14" s="7">
        <f>$B14 * IFERROR(VLOOKUP("LULUCF|PM25|Minor restricted activity days", US_national_yearly!$D:$AM, 31, FALSE) / VLOOKUP("LULUCF|PM25|Minor restricted activity days", US_national_yearly!$D:$AM, 10, FALSE), 1)</f>
        <v>4.2404872542337026E-2</v>
      </c>
      <c r="X14" s="7">
        <f>$B14 * IFERROR(VLOOKUP("LULUCF|PM25|Minor restricted activity days", US_national_yearly!$D:$AM, 32, FALSE) / VLOOKUP("LULUCF|PM25|Minor restricted activity days", US_national_yearly!$D:$AM, 10, FALSE), 1)</f>
        <v>4.2679628636735613E-2</v>
      </c>
      <c r="Y14" s="7">
        <f>$B14 * IFERROR(VLOOKUP("LULUCF|PM25|Minor restricted activity days", US_national_yearly!$D:$AM, 33, FALSE) / VLOOKUP("LULUCF|PM25|Minor restricted activity days", US_national_yearly!$D:$AM, 10, FALSE), 1)</f>
        <v>4.2954384731134207E-2</v>
      </c>
      <c r="Z14" s="7">
        <f>$B14 * IFERROR(VLOOKUP("LULUCF|PM25|Minor restricted activity days", US_national_yearly!$D:$AM, 34, FALSE) / VLOOKUP("LULUCF|PM25|Minor restricted activity days", US_national_yearly!$D:$AM, 10, FALSE), 1)</f>
        <v>4.3229140825532794E-2</v>
      </c>
      <c r="AA14" s="7">
        <f>$B14 * IFERROR(VLOOKUP("LULUCF|PM25|Minor restricted activity days", US_national_yearly!$D:$AM, 35, FALSE) / VLOOKUP("LULUCF|PM25|Minor restricted activity days", US_national_yearly!$D:$AM, 10, FALSE), 1)</f>
        <v>4.3503896919931374E-2</v>
      </c>
      <c r="AB14" s="7">
        <f>$B14 * IFERROR(VLOOKUP("LULUCF|PM25|Minor restricted activity days", US_national_yearly!$D:$AM, 36, FALSE) / VLOOKUP("LULUCF|PM25|Minor restricted activity days", US_national_yearly!$D:$AM, 10, FALSE), 1)</f>
        <v>4.3778653014329962E-2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6.3203092335970034E-3</v>
      </c>
      <c r="C15" s="7">
        <f>$B15 * IFERROR(VLOOKUP("LULUCF|PM25|Work loss days", US_national_yearly!$D:$AM, 11, FALSE) / VLOOKUP("LULUCF|PM25|Work loss days", US_national_yearly!$D:$AM, 10, FALSE), 1)</f>
        <v>6.3398999158303512E-3</v>
      </c>
      <c r="D15" s="7">
        <f>$B15 * IFERROR(VLOOKUP("LULUCF|PM25|Work loss days", US_national_yearly!$D:$AM, 12, FALSE) / VLOOKUP("LULUCF|PM25|Work loss days", US_national_yearly!$D:$AM, 10, FALSE), 1)</f>
        <v>6.3594905980636999E-3</v>
      </c>
      <c r="E15" s="7">
        <f>$B15 * IFERROR(VLOOKUP("LULUCF|PM25|Work loss days", US_national_yearly!$D:$AM, 13, FALSE) / VLOOKUP("LULUCF|PM25|Work loss days", US_national_yearly!$D:$AM, 10, FALSE), 1)</f>
        <v>6.3790812802970468E-3</v>
      </c>
      <c r="F15" s="7">
        <f>$B15 * IFERROR(VLOOKUP("LULUCF|PM25|Work loss days", US_national_yearly!$D:$AM, 14, FALSE) / VLOOKUP("LULUCF|PM25|Work loss days", US_national_yearly!$D:$AM, 10, FALSE), 1)</f>
        <v>6.3986719625303947E-3</v>
      </c>
      <c r="G15" s="7">
        <f>$B15 * IFERROR(VLOOKUP("LULUCF|PM25|Work loss days", US_national_yearly!$D:$AM, 15, FALSE) / VLOOKUP("LULUCF|PM25|Work loss days", US_national_yearly!$D:$AM, 10, FALSE), 1)</f>
        <v>6.4243565970385358E-3</v>
      </c>
      <c r="H15" s="7">
        <f>$B15 * IFERROR(VLOOKUP("LULUCF|PM25|Work loss days", US_national_yearly!$D:$AM, 16, FALSE) / VLOOKUP("LULUCF|PM25|Work loss days", US_national_yearly!$D:$AM, 10, FALSE), 1)</f>
        <v>6.4500412315466786E-3</v>
      </c>
      <c r="I15" s="7">
        <f>$B15 * IFERROR(VLOOKUP("LULUCF|PM25|Work loss days", US_national_yearly!$D:$AM, 17, FALSE) / VLOOKUP("LULUCF|PM25|Work loss days", US_national_yearly!$D:$AM, 10, FALSE), 1)</f>
        <v>6.4878646807820777E-3</v>
      </c>
      <c r="J15" s="7">
        <f>$B15 * IFERROR(VLOOKUP("LULUCF|PM25|Work loss days", US_national_yearly!$D:$AM, 18, FALSE) / VLOOKUP("LULUCF|PM25|Work loss days", US_national_yearly!$D:$AM, 10, FALSE), 1)</f>
        <v>6.5256881300174768E-3</v>
      </c>
      <c r="K15" s="7">
        <f>$B15 * IFERROR(VLOOKUP("LULUCF|PM25|Work loss days", US_national_yearly!$D:$AM, 19, FALSE) / VLOOKUP("LULUCF|PM25|Work loss days", US_national_yearly!$D:$AM, 10, FALSE), 1)</f>
        <v>6.5635115792528759E-3</v>
      </c>
      <c r="L15" s="7">
        <f>$B15 * IFERROR(VLOOKUP("LULUCF|PM25|Work loss days", US_national_yearly!$D:$AM, 20, FALSE) / VLOOKUP("LULUCF|PM25|Work loss days", US_national_yearly!$D:$AM, 10, FALSE), 1)</f>
        <v>6.6013350284882749E-3</v>
      </c>
      <c r="M15" s="7">
        <f>$B15 * IFERROR(VLOOKUP("LULUCF|PM25|Work loss days", US_national_yearly!$D:$AM, 21, FALSE) / VLOOKUP("LULUCF|PM25|Work loss days", US_national_yearly!$D:$AM, 10, FALSE), 1)</f>
        <v>6.639158477723674E-3</v>
      </c>
      <c r="N15" s="7">
        <f>$B15 * IFERROR(VLOOKUP("LULUCF|PM25|Work loss days", US_national_yearly!$D:$AM, 22, FALSE) / VLOOKUP("LULUCF|PM25|Work loss days", US_national_yearly!$D:$AM, 10, FALSE), 1)</f>
        <v>6.6867621513979495E-3</v>
      </c>
      <c r="O15" s="7">
        <f>$B15 * IFERROR(VLOOKUP("LULUCF|PM25|Work loss days", US_national_yearly!$D:$AM, 23, FALSE) / VLOOKUP("LULUCF|PM25|Work loss days", US_national_yearly!$D:$AM, 10, FALSE), 1)</f>
        <v>6.7343658250722232E-3</v>
      </c>
      <c r="P15" s="7">
        <f>$B15 * IFERROR(VLOOKUP("LULUCF|PM25|Work loss days", US_national_yearly!$D:$AM, 24, FALSE) / VLOOKUP("LULUCF|PM25|Work loss days", US_national_yearly!$D:$AM, 10, FALSE), 1)</f>
        <v>6.7819694987464986E-3</v>
      </c>
      <c r="Q15" s="7">
        <f>$B15 * IFERROR(VLOOKUP("LULUCF|PM25|Work loss days", US_national_yearly!$D:$AM, 25, FALSE) / VLOOKUP("LULUCF|PM25|Work loss days", US_national_yearly!$D:$AM, 10, FALSE), 1)</f>
        <v>6.8295731724207723E-3</v>
      </c>
      <c r="R15" s="7">
        <f>$B15 * IFERROR(VLOOKUP("LULUCF|PM25|Work loss days", US_national_yearly!$D:$AM, 26, FALSE) / VLOOKUP("LULUCF|PM25|Work loss days", US_national_yearly!$D:$AM, 10, FALSE), 1)</f>
        <v>6.8771768460950478E-3</v>
      </c>
      <c r="S15" s="7">
        <f>$B15 * IFERROR(VLOOKUP("LULUCF|PM25|Work loss days", US_national_yearly!$D:$AM, 27, FALSE) / VLOOKUP("LULUCF|PM25|Work loss days", US_national_yearly!$D:$AM, 10, FALSE), 1)</f>
        <v>6.9298285415440048E-3</v>
      </c>
      <c r="T15" s="7">
        <f>$B15 * IFERROR(VLOOKUP("LULUCF|PM25|Work loss days", US_national_yearly!$D:$AM, 28, FALSE) / VLOOKUP("LULUCF|PM25|Work loss days", US_national_yearly!$D:$AM, 10, FALSE), 1)</f>
        <v>6.9824802369929627E-3</v>
      </c>
      <c r="U15" s="7">
        <f>$B15 * IFERROR(VLOOKUP("LULUCF|PM25|Work loss days", US_national_yearly!$D:$AM, 29, FALSE) / VLOOKUP("LULUCF|PM25|Work loss days", US_national_yearly!$D:$AM, 10, FALSE), 1)</f>
        <v>7.035131932441918E-3</v>
      </c>
      <c r="V15" s="7">
        <f>$B15 * IFERROR(VLOOKUP("LULUCF|PM25|Work loss days", US_national_yearly!$D:$AM, 30, FALSE) / VLOOKUP("LULUCF|PM25|Work loss days", US_national_yearly!$D:$AM, 10, FALSE), 1)</f>
        <v>7.0877836278908767E-3</v>
      </c>
      <c r="W15" s="7">
        <f>$B15 * IFERROR(VLOOKUP("LULUCF|PM25|Work loss days", US_national_yearly!$D:$AM, 31, FALSE) / VLOOKUP("LULUCF|PM25|Work loss days", US_national_yearly!$D:$AM, 10, FALSE), 1)</f>
        <v>7.1404353233398337E-3</v>
      </c>
      <c r="X15" s="7">
        <f>$B15 * IFERROR(VLOOKUP("LULUCF|PM25|Work loss days", US_national_yearly!$D:$AM, 32, FALSE) / VLOOKUP("LULUCF|PM25|Work loss days", US_national_yearly!$D:$AM, 10, FALSE), 1)</f>
        <v>7.1871515775560457E-3</v>
      </c>
      <c r="Y15" s="7">
        <f>$B15 * IFERROR(VLOOKUP("LULUCF|PM25|Work loss days", US_national_yearly!$D:$AM, 33, FALSE) / VLOOKUP("LULUCF|PM25|Work loss days", US_national_yearly!$D:$AM, 10, FALSE), 1)</f>
        <v>7.2338678317722576E-3</v>
      </c>
      <c r="Z15" s="7">
        <f>$B15 * IFERROR(VLOOKUP("LULUCF|PM25|Work loss days", US_national_yearly!$D:$AM, 34, FALSE) / VLOOKUP("LULUCF|PM25|Work loss days", US_national_yearly!$D:$AM, 10, FALSE), 1)</f>
        <v>7.2805840859884712E-3</v>
      </c>
      <c r="AA15" s="7">
        <f>$B15 * IFERROR(VLOOKUP("LULUCF|PM25|Work loss days", US_national_yearly!$D:$AM, 35, FALSE) / VLOOKUP("LULUCF|PM25|Work loss days", US_national_yearly!$D:$AM, 10, FALSE), 1)</f>
        <v>7.3273003402046849E-3</v>
      </c>
      <c r="AB15" s="7">
        <f>$B15 * IFERROR(VLOOKUP("LULUCF|PM25|Work loss days", US_national_yearly!$D:$AM, 36, FALSE) / VLOOKUP("LULUCF|PM25|Work loss days", US_national_yearly!$D:$AM, 10, FALSE), 1)</f>
        <v>7.3740165944208968E-3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1.0531806091907286E-5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1.0846503801939388E-5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1.1161201511971494E-5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1.14758992220036E-5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1.1790596932035706E-5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1.2092021124817125E-5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1.239344531759855E-5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1.2651239836116798E-5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1.2909034354635044E-5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1.3166828873153289E-5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1.3424623391671541E-5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1.3682417910189787E-5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1.3854295401478433E-5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1.4026172892767081E-5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1.4198050384055728E-5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1.4369927875344376E-5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1.4541805366633023E-5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1.4632744606190997E-5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1.472368384574897E-5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1.4814623085306941E-5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1.4905562324864914E-5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1.4996501564422885E-5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1.5057723056705354E-5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1.511894454898782E-5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1.5180166041270287E-5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1.5241387533552754E-5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1.5302609025835223E-5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1.3055447732626617E-4</v>
      </c>
      <c r="C2" s="7">
        <f>$B2 * IFERROR(VLOOKUP("LULUCF|NOx|Premature mortality", US_national_yearly!$D:$AM, 11, FALSE) / VLOOKUP("LULUCF|NOx|Premature mortality", US_national_yearly!$D:$AM, 10, FALSE), 1)</f>
        <v>1.3247210192805645E-4</v>
      </c>
      <c r="D2" s="7">
        <f>$B2 * IFERROR(VLOOKUP("LULUCF|NOx|Premature mortality", US_national_yearly!$D:$AM, 12, FALSE) / VLOOKUP("LULUCF|NOx|Premature mortality", US_national_yearly!$D:$AM, 10, FALSE), 1)</f>
        <v>1.3438972652984668E-4</v>
      </c>
      <c r="E2" s="7">
        <f>$B2 * IFERROR(VLOOKUP("LULUCF|NOx|Premature mortality", US_national_yearly!$D:$AM, 13, FALSE) / VLOOKUP("LULUCF|NOx|Premature mortality", US_national_yearly!$D:$AM, 10, FALSE), 1)</f>
        <v>1.3630735113163696E-4</v>
      </c>
      <c r="F2" s="7">
        <f>$B2 * IFERROR(VLOOKUP("LULUCF|NOx|Premature mortality", US_national_yearly!$D:$AM, 14, FALSE) / VLOOKUP("LULUCF|NOx|Premature mortality", US_national_yearly!$D:$AM, 10, FALSE), 1)</f>
        <v>1.3822497573342721E-4</v>
      </c>
      <c r="G2" s="7">
        <f>$B2 * IFERROR(VLOOKUP("LULUCF|NOx|Premature mortality", US_national_yearly!$D:$AM, 15, FALSE) / VLOOKUP("LULUCF|NOx|Premature mortality", US_national_yearly!$D:$AM, 10, FALSE), 1)</f>
        <v>1.4166948289111319E-4</v>
      </c>
      <c r="H2" s="7">
        <f>$B2 * IFERROR(VLOOKUP("LULUCF|NOx|Premature mortality", US_national_yearly!$D:$AM, 16, FALSE) / VLOOKUP("LULUCF|NOx|Premature mortality", US_national_yearly!$D:$AM, 10, FALSE), 1)</f>
        <v>1.4511399004879923E-4</v>
      </c>
      <c r="I2" s="7">
        <f>$B2 * IFERROR(VLOOKUP("LULUCF|NOx|Premature mortality", US_national_yearly!$D:$AM, 17, FALSE) / VLOOKUP("LULUCF|NOx|Premature mortality", US_national_yearly!$D:$AM, 10, FALSE), 1)</f>
        <v>1.4733748475668457E-4</v>
      </c>
      <c r="J2" s="7">
        <f>$B2 * IFERROR(VLOOKUP("LULUCF|NOx|Premature mortality", US_national_yearly!$D:$AM, 18, FALSE) / VLOOKUP("LULUCF|NOx|Premature mortality", US_national_yearly!$D:$AM, 10, FALSE), 1)</f>
        <v>1.4956097946456991E-4</v>
      </c>
      <c r="K2" s="7">
        <f>$B2 * IFERROR(VLOOKUP("LULUCF|NOx|Premature mortality", US_national_yearly!$D:$AM, 19, FALSE) / VLOOKUP("LULUCF|NOx|Premature mortality", US_national_yearly!$D:$AM, 10, FALSE), 1)</f>
        <v>1.5178447417245523E-4</v>
      </c>
      <c r="L2" s="7">
        <f>$B2 * IFERROR(VLOOKUP("LULUCF|NOx|Premature mortality", US_national_yearly!$D:$AM, 20, FALSE) / VLOOKUP("LULUCF|NOx|Premature mortality", US_national_yearly!$D:$AM, 10, FALSE), 1)</f>
        <v>1.5400796888034055E-4</v>
      </c>
      <c r="M2" s="7">
        <f>$B2 * IFERROR(VLOOKUP("LULUCF|NOx|Premature mortality", US_national_yearly!$D:$AM, 21, FALSE) / VLOOKUP("LULUCF|NOx|Premature mortality", US_national_yearly!$D:$AM, 10, FALSE), 1)</f>
        <v>1.5623146358822589E-4</v>
      </c>
      <c r="N2" s="7">
        <f>$B2 * IFERROR(VLOOKUP("LULUCF|NOx|Premature mortality", US_national_yearly!$D:$AM, 22, FALSE) / VLOOKUP("LULUCF|NOx|Premature mortality", US_national_yearly!$D:$AM, 10, FALSE), 1)</f>
        <v>1.5787861982389449E-4</v>
      </c>
      <c r="O2" s="7">
        <f>$B2 * IFERROR(VLOOKUP("LULUCF|NOx|Premature mortality", US_national_yearly!$D:$AM, 23, FALSE) / VLOOKUP("LULUCF|NOx|Premature mortality", US_national_yearly!$D:$AM, 10, FALSE), 1)</f>
        <v>1.5952577605956312E-4</v>
      </c>
      <c r="P2" s="7">
        <f>$B2 * IFERROR(VLOOKUP("LULUCF|NOx|Premature mortality", US_national_yearly!$D:$AM, 24, FALSE) / VLOOKUP("LULUCF|NOx|Premature mortality", US_national_yearly!$D:$AM, 10, FALSE), 1)</f>
        <v>1.6117293229523172E-4</v>
      </c>
      <c r="Q2" s="7">
        <f>$B2 * IFERROR(VLOOKUP("LULUCF|NOx|Premature mortality", US_national_yearly!$D:$AM, 25, FALSE) / VLOOKUP("LULUCF|NOx|Premature mortality", US_national_yearly!$D:$AM, 10, FALSE), 1)</f>
        <v>1.6282008853090035E-4</v>
      </c>
      <c r="R2" s="7">
        <f>$B2 * IFERROR(VLOOKUP("LULUCF|NOx|Premature mortality", US_national_yearly!$D:$AM, 26, FALSE) / VLOOKUP("LULUCF|NOx|Premature mortality", US_national_yearly!$D:$AM, 10, FALSE), 1)</f>
        <v>1.6446724476656897E-4</v>
      </c>
      <c r="S2" s="7">
        <f>$B2 * IFERROR(VLOOKUP("LULUCF|NOx|Premature mortality", US_national_yearly!$D:$AM, 27, FALSE) / VLOOKUP("LULUCF|NOx|Premature mortality", US_national_yearly!$D:$AM, 10, FALSE), 1)</f>
        <v>1.6521589386232321E-4</v>
      </c>
      <c r="T2" s="7">
        <f>$B2 * IFERROR(VLOOKUP("LULUCF|NOx|Premature mortality", US_national_yearly!$D:$AM, 28, FALSE) / VLOOKUP("LULUCF|NOx|Premature mortality", US_national_yearly!$D:$AM, 10, FALSE), 1)</f>
        <v>1.659645429580775E-4</v>
      </c>
      <c r="U2" s="7">
        <f>$B2 * IFERROR(VLOOKUP("LULUCF|NOx|Premature mortality", US_national_yearly!$D:$AM, 29, FALSE) / VLOOKUP("LULUCF|NOx|Premature mortality", US_national_yearly!$D:$AM, 10, FALSE), 1)</f>
        <v>1.6671319205383174E-4</v>
      </c>
      <c r="V2" s="7">
        <f>$B2 * IFERROR(VLOOKUP("LULUCF|NOx|Premature mortality", US_national_yearly!$D:$AM, 30, FALSE) / VLOOKUP("LULUCF|NOx|Premature mortality", US_national_yearly!$D:$AM, 10, FALSE), 1)</f>
        <v>1.6746184114958601E-4</v>
      </c>
      <c r="W2" s="7">
        <f>$B2 * IFERROR(VLOOKUP("LULUCF|NOx|Premature mortality", US_national_yearly!$D:$AM, 31, FALSE) / VLOOKUP("LULUCF|NOx|Premature mortality", US_national_yearly!$D:$AM, 10, FALSE), 1)</f>
        <v>1.6821049024534027E-4</v>
      </c>
      <c r="X2" s="7">
        <f>$B2 * IFERROR(VLOOKUP("LULUCF|NOx|Premature mortality", US_national_yearly!$D:$AM, 32, FALSE) / VLOOKUP("LULUCF|NOx|Premature mortality", US_national_yearly!$D:$AM, 10, FALSE), 1)</f>
        <v>1.682364230202892E-4</v>
      </c>
      <c r="Y2" s="7">
        <f>$B2 * IFERROR(VLOOKUP("LULUCF|NOx|Premature mortality", US_national_yearly!$D:$AM, 33, FALSE) / VLOOKUP("LULUCF|NOx|Premature mortality", US_national_yearly!$D:$AM, 10, FALSE), 1)</f>
        <v>1.682623557952381E-4</v>
      </c>
      <c r="Z2" s="7">
        <f>$B2 * IFERROR(VLOOKUP("LULUCF|NOx|Premature mortality", US_national_yearly!$D:$AM, 34, FALSE) / VLOOKUP("LULUCF|NOx|Premature mortality", US_national_yearly!$D:$AM, 10, FALSE), 1)</f>
        <v>1.6828828857018698E-4</v>
      </c>
      <c r="AA2" s="7">
        <f>$B2 * IFERROR(VLOOKUP("LULUCF|NOx|Premature mortality", US_national_yearly!$D:$AM, 35, FALSE) / VLOOKUP("LULUCF|NOx|Premature mortality", US_national_yearly!$D:$AM, 10, FALSE), 1)</f>
        <v>1.6831422134513593E-4</v>
      </c>
      <c r="AB2" s="7">
        <f>$B2 * IFERROR(VLOOKUP("LULUCF|NOx|Premature mortality", US_national_yearly!$D:$AM, 36, FALSE) / VLOOKUP("LULUCF|NOx|Premature mortality", US_national_yearly!$D:$AM, 10, FALSE), 1)</f>
        <v>1.6834015412008484E-4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2.4766827592961367E-7</v>
      </c>
      <c r="C3" s="7">
        <f>$B3 * IFERROR(VLOOKUP("LULUCF|NOx|Infant mortality", US_national_yearly!$D:$AM, 11, FALSE) / VLOOKUP("LULUCF|NOx|Infant mortality", US_national_yearly!$D:$AM, 10, FALSE), 1)</f>
        <v>2.4530860450237019E-7</v>
      </c>
      <c r="D3" s="7">
        <f>$B3 * IFERROR(VLOOKUP("LULUCF|NOx|Infant mortality", US_national_yearly!$D:$AM, 12, FALSE) / VLOOKUP("LULUCF|NOx|Infant mortality", US_national_yearly!$D:$AM, 10, FALSE), 1)</f>
        <v>2.4294893307512667E-7</v>
      </c>
      <c r="E3" s="7">
        <f>$B3 * IFERROR(VLOOKUP("LULUCF|NOx|Infant mortality", US_national_yearly!$D:$AM, 13, FALSE) / VLOOKUP("LULUCF|NOx|Infant mortality", US_national_yearly!$D:$AM, 10, FALSE), 1)</f>
        <v>2.405892616478832E-7</v>
      </c>
      <c r="F3" s="7">
        <f>$B3 * IFERROR(VLOOKUP("LULUCF|NOx|Infant mortality", US_national_yearly!$D:$AM, 14, FALSE) / VLOOKUP("LULUCF|NOx|Infant mortality", US_national_yearly!$D:$AM, 10, FALSE), 1)</f>
        <v>2.3822959022063973E-7</v>
      </c>
      <c r="G3" s="7">
        <f>$B3 * IFERROR(VLOOKUP("LULUCF|NOx|Infant mortality", US_national_yearly!$D:$AM, 15, FALSE) / VLOOKUP("LULUCF|NOx|Infant mortality", US_national_yearly!$D:$AM, 10, FALSE), 1)</f>
        <v>1.5814856599972062E-7</v>
      </c>
      <c r="H3" s="7">
        <f>$B3 * IFERROR(VLOOKUP("LULUCF|NOx|Infant mortality", US_national_yearly!$D:$AM, 16, FALSE) / VLOOKUP("LULUCF|NOx|Infant mortality", US_national_yearly!$D:$AM, 10, FALSE), 1)</f>
        <v>7.8067541778801555E-8</v>
      </c>
      <c r="I3" s="7">
        <f>$B3 * IFERROR(VLOOKUP("LULUCF|NOx|Infant mortality", US_national_yearly!$D:$AM, 17, FALSE) / VLOOKUP("LULUCF|NOx|Infant mortality", US_national_yearly!$D:$AM, 10, FALSE), 1)</f>
        <v>7.7515529719232791E-8</v>
      </c>
      <c r="J3" s="7">
        <f>$B3 * IFERROR(VLOOKUP("LULUCF|NOx|Infant mortality", US_national_yearly!$D:$AM, 18, FALSE) / VLOOKUP("LULUCF|NOx|Infant mortality", US_national_yearly!$D:$AM, 10, FALSE), 1)</f>
        <v>7.6963517659664013E-8</v>
      </c>
      <c r="K3" s="7">
        <f>$B3 * IFERROR(VLOOKUP("LULUCF|NOx|Infant mortality", US_national_yearly!$D:$AM, 19, FALSE) / VLOOKUP("LULUCF|NOx|Infant mortality", US_national_yearly!$D:$AM, 10, FALSE), 1)</f>
        <v>7.6411505600095249E-8</v>
      </c>
      <c r="L3" s="7">
        <f>$B3 * IFERROR(VLOOKUP("LULUCF|NOx|Infant mortality", US_national_yearly!$D:$AM, 20, FALSE) / VLOOKUP("LULUCF|NOx|Infant mortality", US_national_yearly!$D:$AM, 10, FALSE), 1)</f>
        <v>7.5859493540526498E-8</v>
      </c>
      <c r="M3" s="7">
        <f>$B3 * IFERROR(VLOOKUP("LULUCF|NOx|Infant mortality", US_national_yearly!$D:$AM, 21, FALSE) / VLOOKUP("LULUCF|NOx|Infant mortality", US_national_yearly!$D:$AM, 10, FALSE), 1)</f>
        <v>7.530748148095772E-8</v>
      </c>
      <c r="N3" s="7">
        <f>$B3 * IFERROR(VLOOKUP("LULUCF|NOx|Infant mortality", US_national_yearly!$D:$AM, 22, FALSE) / VLOOKUP("LULUCF|NOx|Infant mortality", US_national_yearly!$D:$AM, 10, FALSE), 1)</f>
        <v>7.4941078956811727E-8</v>
      </c>
      <c r="O3" s="7">
        <f>$B3 * IFERROR(VLOOKUP("LULUCF|NOx|Infant mortality", US_national_yearly!$D:$AM, 23, FALSE) / VLOOKUP("LULUCF|NOx|Infant mortality", US_national_yearly!$D:$AM, 10, FALSE), 1)</f>
        <v>7.4574676432665733E-8</v>
      </c>
      <c r="P3" s="7">
        <f>$B3 * IFERROR(VLOOKUP("LULUCF|NOx|Infant mortality", US_national_yearly!$D:$AM, 24, FALSE) / VLOOKUP("LULUCF|NOx|Infant mortality", US_national_yearly!$D:$AM, 10, FALSE), 1)</f>
        <v>7.420827390851974E-8</v>
      </c>
      <c r="Q3" s="7">
        <f>$B3 * IFERROR(VLOOKUP("LULUCF|NOx|Infant mortality", US_national_yearly!$D:$AM, 25, FALSE) / VLOOKUP("LULUCF|NOx|Infant mortality", US_national_yearly!$D:$AM, 10, FALSE), 1)</f>
        <v>7.3841871384373747E-8</v>
      </c>
      <c r="R3" s="7">
        <f>$B3 * IFERROR(VLOOKUP("LULUCF|NOx|Infant mortality", US_national_yearly!$D:$AM, 26, FALSE) / VLOOKUP("LULUCF|NOx|Infant mortality", US_national_yearly!$D:$AM, 10, FALSE), 1)</f>
        <v>7.3475468860227753E-8</v>
      </c>
      <c r="S3" s="7">
        <f>$B3 * IFERROR(VLOOKUP("LULUCF|NOx|Infant mortality", US_national_yearly!$D:$AM, 27, FALSE) / VLOOKUP("LULUCF|NOx|Infant mortality", US_national_yearly!$D:$AM, 10, FALSE), 1)</f>
        <v>7.3034994759473123E-8</v>
      </c>
      <c r="T3" s="7">
        <f>$B3 * IFERROR(VLOOKUP("LULUCF|NOx|Infant mortality", US_national_yearly!$D:$AM, 28, FALSE) / VLOOKUP("LULUCF|NOx|Infant mortality", US_national_yearly!$D:$AM, 10, FALSE), 1)</f>
        <v>7.259452065871848E-8</v>
      </c>
      <c r="U3" s="7">
        <f>$B3 * IFERROR(VLOOKUP("LULUCF|NOx|Infant mortality", US_national_yearly!$D:$AM, 29, FALSE) / VLOOKUP("LULUCF|NOx|Infant mortality", US_national_yearly!$D:$AM, 10, FALSE), 1)</f>
        <v>7.215404655796385E-8</v>
      </c>
      <c r="V3" s="7">
        <f>$B3 * IFERROR(VLOOKUP("LULUCF|NOx|Infant mortality", US_national_yearly!$D:$AM, 30, FALSE) / VLOOKUP("LULUCF|NOx|Infant mortality", US_national_yearly!$D:$AM, 10, FALSE), 1)</f>
        <v>7.1713572457209206E-8</v>
      </c>
      <c r="W3" s="7">
        <f>$B3 * IFERROR(VLOOKUP("LULUCF|NOx|Infant mortality", US_national_yearly!$D:$AM, 31, FALSE) / VLOOKUP("LULUCF|NOx|Infant mortality", US_national_yearly!$D:$AM, 10, FALSE), 1)</f>
        <v>7.1273098356454576E-8</v>
      </c>
      <c r="X3" s="7">
        <f>$B3 * IFERROR(VLOOKUP("LULUCF|NOx|Infant mortality", US_national_yearly!$D:$AM, 32, FALSE) / VLOOKUP("LULUCF|NOx|Infant mortality", US_national_yearly!$D:$AM, 10, FALSE), 1)</f>
        <v>7.0806614983297264E-8</v>
      </c>
      <c r="Y3" s="7">
        <f>$B3 * IFERROR(VLOOKUP("LULUCF|NOx|Infant mortality", US_national_yearly!$D:$AM, 33, FALSE) / VLOOKUP("LULUCF|NOx|Infant mortality", US_national_yearly!$D:$AM, 10, FALSE), 1)</f>
        <v>7.0340131610139953E-8</v>
      </c>
      <c r="Z3" s="7">
        <f>$B3 * IFERROR(VLOOKUP("LULUCF|NOx|Infant mortality", US_national_yearly!$D:$AM, 34, FALSE) / VLOOKUP("LULUCF|NOx|Infant mortality", US_national_yearly!$D:$AM, 10, FALSE), 1)</f>
        <v>6.9873648236982641E-8</v>
      </c>
      <c r="AA3" s="7">
        <f>$B3 * IFERROR(VLOOKUP("LULUCF|NOx|Infant mortality", US_national_yearly!$D:$AM, 35, FALSE) / VLOOKUP("LULUCF|NOx|Infant mortality", US_national_yearly!$D:$AM, 10, FALSE), 1)</f>
        <v>6.9407164863825329E-8</v>
      </c>
      <c r="AB3" s="7">
        <f>$B3 * IFERROR(VLOOKUP("LULUCF|NOx|Infant mortality", US_national_yearly!$D:$AM, 36, FALSE) / VLOOKUP("LULUCF|NOx|Infant mortality", US_national_yearly!$D:$AM, 10, FALSE), 1)</f>
        <v>6.8940681490668017E-8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3.2253002555336321E-4</v>
      </c>
      <c r="C6" s="7">
        <f>$B6 * IFERROR(VLOOKUP("LULUCF|NOx|Asthma symptoms cough", US_national_yearly!$D:$AM, 11, FALSE) / VLOOKUP("LULUCF|NOx|Asthma symptoms cough", US_national_yearly!$D:$AM, 10, FALSE), 1)</f>
        <v>3.2693953831839588E-4</v>
      </c>
      <c r="D6" s="7">
        <f>$B6 * IFERROR(VLOOKUP("LULUCF|NOx|Asthma symptoms cough", US_national_yearly!$D:$AM, 12, FALSE) / VLOOKUP("LULUCF|NOx|Asthma symptoms cough", US_national_yearly!$D:$AM, 10, FALSE), 1)</f>
        <v>3.3134905108342849E-4</v>
      </c>
      <c r="E6" s="7">
        <f>$B6 * IFERROR(VLOOKUP("LULUCF|NOx|Asthma symptoms cough", US_national_yearly!$D:$AM, 13, FALSE) / VLOOKUP("LULUCF|NOx|Asthma symptoms cough", US_national_yearly!$D:$AM, 10, FALSE), 1)</f>
        <v>3.3575856384846116E-4</v>
      </c>
      <c r="F6" s="7">
        <f>$B6 * IFERROR(VLOOKUP("LULUCF|NOx|Asthma symptoms cough", US_national_yearly!$D:$AM, 14, FALSE) / VLOOKUP("LULUCF|NOx|Asthma symptoms cough", US_national_yearly!$D:$AM, 10, FALSE), 1)</f>
        <v>3.4016807661349383E-4</v>
      </c>
      <c r="G6" s="7">
        <f>$B6 * IFERROR(VLOOKUP("LULUCF|NOx|Asthma symptoms cough", US_national_yearly!$D:$AM, 15, FALSE) / VLOOKUP("LULUCF|NOx|Asthma symptoms cough", US_national_yearly!$D:$AM, 10, FALSE), 1)</f>
        <v>3.4368845636859285E-4</v>
      </c>
      <c r="H6" s="7">
        <f>$B6 * IFERROR(VLOOKUP("LULUCF|NOx|Asthma symptoms cough", US_national_yearly!$D:$AM, 16, FALSE) / VLOOKUP("LULUCF|NOx|Asthma symptoms cough", US_national_yearly!$D:$AM, 10, FALSE), 1)</f>
        <v>3.4720883612369198E-4</v>
      </c>
      <c r="I6" s="7">
        <f>$B6 * IFERROR(VLOOKUP("LULUCF|NOx|Asthma symptoms cough", US_national_yearly!$D:$AM, 17, FALSE) / VLOOKUP("LULUCF|NOx|Asthma symptoms cough", US_national_yearly!$D:$AM, 10, FALSE), 1)</f>
        <v>3.4842050050892353E-4</v>
      </c>
      <c r="J6" s="7">
        <f>$B6 * IFERROR(VLOOKUP("LULUCF|NOx|Asthma symptoms cough", US_national_yearly!$D:$AM, 18, FALSE) / VLOOKUP("LULUCF|NOx|Asthma symptoms cough", US_national_yearly!$D:$AM, 10, FALSE), 1)</f>
        <v>3.4963216489415524E-4</v>
      </c>
      <c r="K6" s="7">
        <f>$B6 * IFERROR(VLOOKUP("LULUCF|NOx|Asthma symptoms cough", US_national_yearly!$D:$AM, 19, FALSE) / VLOOKUP("LULUCF|NOx|Asthma symptoms cough", US_national_yearly!$D:$AM, 10, FALSE), 1)</f>
        <v>3.5084382927938679E-4</v>
      </c>
      <c r="L6" s="7">
        <f>$B6 * IFERROR(VLOOKUP("LULUCF|NOx|Asthma symptoms cough", US_national_yearly!$D:$AM, 20, FALSE) / VLOOKUP("LULUCF|NOx|Asthma symptoms cough", US_national_yearly!$D:$AM, 10, FALSE), 1)</f>
        <v>3.520554936646184E-4</v>
      </c>
      <c r="M6" s="7">
        <f>$B6 * IFERROR(VLOOKUP("LULUCF|NOx|Asthma symptoms cough", US_national_yearly!$D:$AM, 21, FALSE) / VLOOKUP("LULUCF|NOx|Asthma symptoms cough", US_national_yearly!$D:$AM, 10, FALSE), 1)</f>
        <v>3.5326715804985005E-4</v>
      </c>
      <c r="N6" s="7">
        <f>$B6 * IFERROR(VLOOKUP("LULUCF|NOx|Asthma symptoms cough", US_national_yearly!$D:$AM, 22, FALSE) / VLOOKUP("LULUCF|NOx|Asthma symptoms cough", US_national_yearly!$D:$AM, 10, FALSE), 1)</f>
        <v>3.5467217313386461E-4</v>
      </c>
      <c r="O6" s="7">
        <f>$B6 * IFERROR(VLOOKUP("LULUCF|NOx|Asthma symptoms cough", US_national_yearly!$D:$AM, 23, FALSE) / VLOOKUP("LULUCF|NOx|Asthma symptoms cough", US_national_yearly!$D:$AM, 10, FALSE), 1)</f>
        <v>3.5607718821787911E-4</v>
      </c>
      <c r="P6" s="7">
        <f>$B6 * IFERROR(VLOOKUP("LULUCF|NOx|Asthma symptoms cough", US_national_yearly!$D:$AM, 24, FALSE) / VLOOKUP("LULUCF|NOx|Asthma symptoms cough", US_national_yearly!$D:$AM, 10, FALSE), 1)</f>
        <v>3.5748220330189361E-4</v>
      </c>
      <c r="Q6" s="7">
        <f>$B6 * IFERROR(VLOOKUP("LULUCF|NOx|Asthma symptoms cough", US_national_yearly!$D:$AM, 25, FALSE) / VLOOKUP("LULUCF|NOx|Asthma symptoms cough", US_national_yearly!$D:$AM, 10, FALSE), 1)</f>
        <v>3.5888721838590822E-4</v>
      </c>
      <c r="R6" s="7">
        <f>$B6 * IFERROR(VLOOKUP("LULUCF|NOx|Asthma symptoms cough", US_national_yearly!$D:$AM, 26, FALSE) / VLOOKUP("LULUCF|NOx|Asthma symptoms cough", US_national_yearly!$D:$AM, 10, FALSE), 1)</f>
        <v>3.6029223346992271E-4</v>
      </c>
      <c r="S6" s="7">
        <f>$B6 * IFERROR(VLOOKUP("LULUCF|NOx|Asthma symptoms cough", US_national_yearly!$D:$AM, 27, FALSE) / VLOOKUP("LULUCF|NOx|Asthma symptoms cough", US_national_yearly!$D:$AM, 10, FALSE), 1)</f>
        <v>3.6212763066363401E-4</v>
      </c>
      <c r="T6" s="7">
        <f>$B6 * IFERROR(VLOOKUP("LULUCF|NOx|Asthma symptoms cough", US_national_yearly!$D:$AM, 28, FALSE) / VLOOKUP("LULUCF|NOx|Asthma symptoms cough", US_national_yearly!$D:$AM, 10, FALSE), 1)</f>
        <v>3.6396302785734525E-4</v>
      </c>
      <c r="U6" s="7">
        <f>$B6 * IFERROR(VLOOKUP("LULUCF|NOx|Asthma symptoms cough", US_national_yearly!$D:$AM, 29, FALSE) / VLOOKUP("LULUCF|NOx|Asthma symptoms cough", US_national_yearly!$D:$AM, 10, FALSE), 1)</f>
        <v>3.6579842505105644E-4</v>
      </c>
      <c r="V6" s="7">
        <f>$B6 * IFERROR(VLOOKUP("LULUCF|NOx|Asthma symptoms cough", US_national_yearly!$D:$AM, 30, FALSE) / VLOOKUP("LULUCF|NOx|Asthma symptoms cough", US_national_yearly!$D:$AM, 10, FALSE), 1)</f>
        <v>3.6763382224476779E-4</v>
      </c>
      <c r="W6" s="7">
        <f>$B6 * IFERROR(VLOOKUP("LULUCF|NOx|Asthma symptoms cough", US_national_yearly!$D:$AM, 31, FALSE) / VLOOKUP("LULUCF|NOx|Asthma symptoms cough", US_national_yearly!$D:$AM, 10, FALSE), 1)</f>
        <v>3.6946921943847903E-4</v>
      </c>
      <c r="X6" s="7">
        <f>$B6 * IFERROR(VLOOKUP("LULUCF|NOx|Asthma symptoms cough", US_national_yearly!$D:$AM, 32, FALSE) / VLOOKUP("LULUCF|NOx|Asthma symptoms cough", US_national_yearly!$D:$AM, 10, FALSE), 1)</f>
        <v>3.7117456715148782E-4</v>
      </c>
      <c r="Y6" s="7">
        <f>$B6 * IFERROR(VLOOKUP("LULUCF|NOx|Asthma symptoms cough", US_national_yearly!$D:$AM, 33, FALSE) / VLOOKUP("LULUCF|NOx|Asthma symptoms cough", US_national_yearly!$D:$AM, 10, FALSE), 1)</f>
        <v>3.7287991486449661E-4</v>
      </c>
      <c r="Z6" s="7">
        <f>$B6 * IFERROR(VLOOKUP("LULUCF|NOx|Asthma symptoms cough", US_national_yearly!$D:$AM, 34, FALSE) / VLOOKUP("LULUCF|NOx|Asthma symptoms cough", US_national_yearly!$D:$AM, 10, FALSE), 1)</f>
        <v>3.7458526257750534E-4</v>
      </c>
      <c r="AA6" s="7">
        <f>$B6 * IFERROR(VLOOKUP("LULUCF|NOx|Asthma symptoms cough", US_national_yearly!$D:$AM, 35, FALSE) / VLOOKUP("LULUCF|NOx|Asthma symptoms cough", US_national_yearly!$D:$AM, 10, FALSE), 1)</f>
        <v>3.7629061029051413E-4</v>
      </c>
      <c r="AB6" s="7">
        <f>$B6 * IFERROR(VLOOKUP("LULUCF|NOx|Asthma symptoms cough", US_national_yearly!$D:$AM, 36, FALSE) / VLOOKUP("LULUCF|NOx|Asthma symptoms cough", US_national_yearly!$D:$AM, 10, FALSE), 1)</f>
        <v>3.7799595800352298E-4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4.3433291928949349E-4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4.4027096039774921E-4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4.4620900150600483E-4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4.5214704261426061E-4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4.5808508372251634E-4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4.6282577975815501E-4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4.6756647579379368E-4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4.6919815558932505E-4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4.7082983538485642E-4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4.724615151803878E-4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4.7409319497591923E-4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4.757248747714506E-4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4.7761692900751338E-4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4.7950898324357609E-4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4.8140103747963876E-4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4.8329309171570153E-4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4.8518514595176425E-4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4.8765677140579752E-4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4.9012839685983085E-4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4.9260002231386402E-4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4.9507164776789719E-4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4.9754327322193046E-4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4.9983976840407114E-4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5.0213626358621192E-4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5.0443275876835281E-4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5.0672925395049348E-4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5.0902574913263426E-4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6.6358909202215099E-4</v>
      </c>
      <c r="C8" s="7">
        <f>$B8 * IFERROR(VLOOKUP("LULUCF|NOx|Asthma symptoms wheeze", US_national_yearly!$D:$AM, 11, FALSE) / VLOOKUP("LULUCF|NOx|Asthma symptoms wheeze", US_national_yearly!$D:$AM, 10, FALSE), 1)</f>
        <v>6.7266143984782316E-4</v>
      </c>
      <c r="D8" s="7">
        <f>$B8 * IFERROR(VLOOKUP("LULUCF|NOx|Asthma symptoms wheeze", US_national_yearly!$D:$AM, 12, FALSE) / VLOOKUP("LULUCF|NOx|Asthma symptoms wheeze", US_national_yearly!$D:$AM, 10, FALSE), 1)</f>
        <v>6.8173378767349567E-4</v>
      </c>
      <c r="E8" s="7">
        <f>$B8 * IFERROR(VLOOKUP("LULUCF|NOx|Asthma symptoms wheeze", US_national_yearly!$D:$AM, 13, FALSE) / VLOOKUP("LULUCF|NOx|Asthma symptoms wheeze", US_national_yearly!$D:$AM, 10, FALSE), 1)</f>
        <v>6.9080613549916785E-4</v>
      </c>
      <c r="F8" s="7">
        <f>$B8 * IFERROR(VLOOKUP("LULUCF|NOx|Asthma symptoms wheeze", US_national_yearly!$D:$AM, 14, FALSE) / VLOOKUP("LULUCF|NOx|Asthma symptoms wheeze", US_national_yearly!$D:$AM, 10, FALSE), 1)</f>
        <v>6.9987848332484003E-4</v>
      </c>
      <c r="G8" s="7">
        <f>$B8 * IFERROR(VLOOKUP("LULUCF|NOx|Asthma symptoms wheeze", US_national_yearly!$D:$AM, 15, FALSE) / VLOOKUP("LULUCF|NOx|Asthma symptoms wheeze", US_national_yearly!$D:$AM, 10, FALSE), 1)</f>
        <v>7.0712148529407696E-4</v>
      </c>
      <c r="H8" s="7">
        <f>$B8 * IFERROR(VLOOKUP("LULUCF|NOx|Asthma symptoms wheeze", US_national_yearly!$D:$AM, 16, FALSE) / VLOOKUP("LULUCF|NOx|Asthma symptoms wheeze", US_national_yearly!$D:$AM, 10, FALSE), 1)</f>
        <v>7.1436448726331378E-4</v>
      </c>
      <c r="I8" s="7">
        <f>$B8 * IFERROR(VLOOKUP("LULUCF|NOx|Asthma symptoms wheeze", US_national_yearly!$D:$AM, 17, FALSE) / VLOOKUP("LULUCF|NOx|Asthma symptoms wheeze", US_national_yearly!$D:$AM, 10, FALSE), 1)</f>
        <v>7.1685742500617738E-4</v>
      </c>
      <c r="J8" s="7">
        <f>$B8 * IFERROR(VLOOKUP("LULUCF|NOx|Asthma symptoms wheeze", US_national_yearly!$D:$AM, 18, FALSE) / VLOOKUP("LULUCF|NOx|Asthma symptoms wheeze", US_national_yearly!$D:$AM, 10, FALSE), 1)</f>
        <v>7.1935036274904109E-4</v>
      </c>
      <c r="K8" s="7">
        <f>$B8 * IFERROR(VLOOKUP("LULUCF|NOx|Asthma symptoms wheeze", US_national_yearly!$D:$AM, 19, FALSE) / VLOOKUP("LULUCF|NOx|Asthma symptoms wheeze", US_national_yearly!$D:$AM, 10, FALSE), 1)</f>
        <v>7.2184330049190459E-4</v>
      </c>
      <c r="L8" s="7">
        <f>$B8 * IFERROR(VLOOKUP("LULUCF|NOx|Asthma symptoms wheeze", US_national_yearly!$D:$AM, 20, FALSE) / VLOOKUP("LULUCF|NOx|Asthma symptoms wheeze", US_national_yearly!$D:$AM, 10, FALSE), 1)</f>
        <v>7.243362382347683E-4</v>
      </c>
      <c r="M8" s="7">
        <f>$B8 * IFERROR(VLOOKUP("LULUCF|NOx|Asthma symptoms wheeze", US_national_yearly!$D:$AM, 21, FALSE) / VLOOKUP("LULUCF|NOx|Asthma symptoms wheeze", US_national_yearly!$D:$AM, 10, FALSE), 1)</f>
        <v>7.268291759776319E-4</v>
      </c>
      <c r="N8" s="7">
        <f>$B8 * IFERROR(VLOOKUP("LULUCF|NOx|Asthma symptoms wheeze", US_national_yearly!$D:$AM, 22, FALSE) / VLOOKUP("LULUCF|NOx|Asthma symptoms wheeze", US_national_yearly!$D:$AM, 10, FALSE), 1)</f>
        <v>7.2971992293390257E-4</v>
      </c>
      <c r="O8" s="7">
        <f>$B8 * IFERROR(VLOOKUP("LULUCF|NOx|Asthma symptoms wheeze", US_national_yearly!$D:$AM, 23, FALSE) / VLOOKUP("LULUCF|NOx|Asthma symptoms wheeze", US_national_yearly!$D:$AM, 10, FALSE), 1)</f>
        <v>7.3261066989017346E-4</v>
      </c>
      <c r="P8" s="7">
        <f>$B8 * IFERROR(VLOOKUP("LULUCF|NOx|Asthma symptoms wheeze", US_national_yearly!$D:$AM, 24, FALSE) / VLOOKUP("LULUCF|NOx|Asthma symptoms wheeze", US_national_yearly!$D:$AM, 10, FALSE), 1)</f>
        <v>7.3550141684644425E-4</v>
      </c>
      <c r="Q8" s="7">
        <f>$B8 * IFERROR(VLOOKUP("LULUCF|NOx|Asthma symptoms wheeze", US_national_yearly!$D:$AM, 25, FALSE) / VLOOKUP("LULUCF|NOx|Asthma symptoms wheeze", US_national_yearly!$D:$AM, 10, FALSE), 1)</f>
        <v>7.3839216380271514E-4</v>
      </c>
      <c r="R8" s="7">
        <f>$B8 * IFERROR(VLOOKUP("LULUCF|NOx|Asthma symptoms wheeze", US_national_yearly!$D:$AM, 26, FALSE) / VLOOKUP("LULUCF|NOx|Asthma symptoms wheeze", US_national_yearly!$D:$AM, 10, FALSE), 1)</f>
        <v>7.4128291075898592E-4</v>
      </c>
      <c r="S8" s="7">
        <f>$B8 * IFERROR(VLOOKUP("LULUCF|NOx|Asthma symptoms wheeze", US_national_yearly!$D:$AM, 27, FALSE) / VLOOKUP("LULUCF|NOx|Asthma symptoms wheeze", US_national_yearly!$D:$AM, 10, FALSE), 1)</f>
        <v>7.4505914697772183E-4</v>
      </c>
      <c r="T8" s="7">
        <f>$B8 * IFERROR(VLOOKUP("LULUCF|NOx|Asthma symptoms wheeze", US_national_yearly!$D:$AM, 28, FALSE) / VLOOKUP("LULUCF|NOx|Asthma symptoms wheeze", US_national_yearly!$D:$AM, 10, FALSE), 1)</f>
        <v>7.4883538319645774E-4</v>
      </c>
      <c r="U8" s="7">
        <f>$B8 * IFERROR(VLOOKUP("LULUCF|NOx|Asthma symptoms wheeze", US_national_yearly!$D:$AM, 29, FALSE) / VLOOKUP("LULUCF|NOx|Asthma symptoms wheeze", US_national_yearly!$D:$AM, 10, FALSE), 1)</f>
        <v>7.5261161941519376E-4</v>
      </c>
      <c r="V8" s="7">
        <f>$B8 * IFERROR(VLOOKUP("LULUCF|NOx|Asthma symptoms wheeze", US_national_yearly!$D:$AM, 30, FALSE) / VLOOKUP("LULUCF|NOx|Asthma symptoms wheeze", US_national_yearly!$D:$AM, 10, FALSE), 1)</f>
        <v>7.5638785563392978E-4</v>
      </c>
      <c r="W8" s="7">
        <f>$B8 * IFERROR(VLOOKUP("LULUCF|NOx|Asthma symptoms wheeze", US_national_yearly!$D:$AM, 31, FALSE) / VLOOKUP("LULUCF|NOx|Asthma symptoms wheeze", US_national_yearly!$D:$AM, 10, FALSE), 1)</f>
        <v>7.6016409185266558E-4</v>
      </c>
      <c r="X8" s="7">
        <f>$B8 * IFERROR(VLOOKUP("LULUCF|NOx|Asthma symptoms wheeze", US_national_yearly!$D:$AM, 32, FALSE) / VLOOKUP("LULUCF|NOx|Asthma symptoms wheeze", US_national_yearly!$D:$AM, 10, FALSE), 1)</f>
        <v>7.636727578892485E-4</v>
      </c>
      <c r="Y8" s="7">
        <f>$B8 * IFERROR(VLOOKUP("LULUCF|NOx|Asthma symptoms wheeze", US_national_yearly!$D:$AM, 33, FALSE) / VLOOKUP("LULUCF|NOx|Asthma symptoms wheeze", US_national_yearly!$D:$AM, 10, FALSE), 1)</f>
        <v>7.6718142392583121E-4</v>
      </c>
      <c r="Z8" s="7">
        <f>$B8 * IFERROR(VLOOKUP("LULUCF|NOx|Asthma symptoms wheeze", US_national_yearly!$D:$AM, 34, FALSE) / VLOOKUP("LULUCF|NOx|Asthma symptoms wheeze", US_national_yearly!$D:$AM, 10, FALSE), 1)</f>
        <v>7.7069008996241413E-4</v>
      </c>
      <c r="AA8" s="7">
        <f>$B8 * IFERROR(VLOOKUP("LULUCF|NOx|Asthma symptoms wheeze", US_national_yearly!$D:$AM, 35, FALSE) / VLOOKUP("LULUCF|NOx|Asthma symptoms wheeze", US_national_yearly!$D:$AM, 10, FALSE), 1)</f>
        <v>7.7419875599899683E-4</v>
      </c>
      <c r="AB8" s="7">
        <f>$B8 * IFERROR(VLOOKUP("LULUCF|NOx|Asthma symptoms wheeze", US_national_yearly!$D:$AM, 36, FALSE) / VLOOKUP("LULUCF|NOx|Asthma symptoms wheeze", US_national_yearly!$D:$AM, 10, FALSE), 1)</f>
        <v>7.7770742203557976E-4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1.248548544619985E-5</v>
      </c>
      <c r="C12" s="7">
        <f>$B12 * IFERROR(VLOOKUP("LULUCF|NOx|Respiratory hospital admissions", US_national_yearly!$D:$AM, 11, FALSE) / VLOOKUP("LULUCF|NOx|Respiratory hospital admissions", US_national_yearly!$D:$AM, 10, FALSE), 1)</f>
        <v>1.2796931694304402E-5</v>
      </c>
      <c r="D12" s="7">
        <f>$B12 * IFERROR(VLOOKUP("LULUCF|NOx|Respiratory hospital admissions", US_national_yearly!$D:$AM, 12, FALSE) / VLOOKUP("LULUCF|NOx|Respiratory hospital admissions", US_national_yearly!$D:$AM, 10, FALSE), 1)</f>
        <v>1.3108377942408957E-5</v>
      </c>
      <c r="E12" s="7">
        <f>$B12 * IFERROR(VLOOKUP("LULUCF|NOx|Respiratory hospital admissions", US_national_yearly!$D:$AM, 13, FALSE) / VLOOKUP("LULUCF|NOx|Respiratory hospital admissions", US_national_yearly!$D:$AM, 10, FALSE), 1)</f>
        <v>1.3419824190513513E-5</v>
      </c>
      <c r="F12" s="7">
        <f>$B12 * IFERROR(VLOOKUP("LULUCF|NOx|Respiratory hospital admissions", US_national_yearly!$D:$AM, 14, FALSE) / VLOOKUP("LULUCF|NOx|Respiratory hospital admissions", US_national_yearly!$D:$AM, 10, FALSE), 1)</f>
        <v>1.3731270438618068E-5</v>
      </c>
      <c r="G12" s="7">
        <f>$B12 * IFERROR(VLOOKUP("LULUCF|NOx|Respiratory hospital admissions", US_national_yearly!$D:$AM, 15, FALSE) / VLOOKUP("LULUCF|NOx|Respiratory hospital admissions", US_national_yearly!$D:$AM, 10, FALSE), 1)</f>
        <v>1.4029023652174488E-5</v>
      </c>
      <c r="H12" s="7">
        <f>$B12 * IFERROR(VLOOKUP("LULUCF|NOx|Respiratory hospital admissions", US_national_yearly!$D:$AM, 16, FALSE) / VLOOKUP("LULUCF|NOx|Respiratory hospital admissions", US_national_yearly!$D:$AM, 10, FALSE), 1)</f>
        <v>1.4326776865730909E-5</v>
      </c>
      <c r="I12" s="7">
        <f>$B12 * IFERROR(VLOOKUP("LULUCF|NOx|Respiratory hospital admissions", US_national_yearly!$D:$AM, 17, FALSE) / VLOOKUP("LULUCF|NOx|Respiratory hospital admissions", US_national_yearly!$D:$AM, 10, FALSE), 1)</f>
        <v>1.4579575465226912E-5</v>
      </c>
      <c r="J12" s="7">
        <f>$B12 * IFERROR(VLOOKUP("LULUCF|NOx|Respiratory hospital admissions", US_national_yearly!$D:$AM, 18, FALSE) / VLOOKUP("LULUCF|NOx|Respiratory hospital admissions", US_national_yearly!$D:$AM, 10, FALSE), 1)</f>
        <v>1.4832374064722913E-5</v>
      </c>
      <c r="K12" s="7">
        <f>$B12 * IFERROR(VLOOKUP("LULUCF|NOx|Respiratory hospital admissions", US_national_yearly!$D:$AM, 19, FALSE) / VLOOKUP("LULUCF|NOx|Respiratory hospital admissions", US_national_yearly!$D:$AM, 10, FALSE), 1)</f>
        <v>1.5085172664218916E-5</v>
      </c>
      <c r="L12" s="7">
        <f>$B12 * IFERROR(VLOOKUP("LULUCF|NOx|Respiratory hospital admissions", US_national_yearly!$D:$AM, 20, FALSE) / VLOOKUP("LULUCF|NOx|Respiratory hospital admissions", US_national_yearly!$D:$AM, 10, FALSE), 1)</f>
        <v>1.5337971263714921E-5</v>
      </c>
      <c r="M12" s="7">
        <f>$B12 * IFERROR(VLOOKUP("LULUCF|NOx|Respiratory hospital admissions", US_national_yearly!$D:$AM, 21, FALSE) / VLOOKUP("LULUCF|NOx|Respiratory hospital admissions", US_national_yearly!$D:$AM, 10, FALSE), 1)</f>
        <v>1.5590769863210923E-5</v>
      </c>
      <c r="N12" s="7">
        <f>$B12 * IFERROR(VLOOKUP("LULUCF|NOx|Respiratory hospital admissions", US_national_yearly!$D:$AM, 22, FALSE) / VLOOKUP("LULUCF|NOx|Respiratory hospital admissions", US_national_yearly!$D:$AM, 10, FALSE), 1)</f>
        <v>1.575977027850139E-5</v>
      </c>
      <c r="O12" s="7">
        <f>$B12 * IFERROR(VLOOKUP("LULUCF|NOx|Respiratory hospital admissions", US_national_yearly!$D:$AM, 23, FALSE) / VLOOKUP("LULUCF|NOx|Respiratory hospital admissions", US_national_yearly!$D:$AM, 10, FALSE), 1)</f>
        <v>1.592877069379186E-5</v>
      </c>
      <c r="P12" s="7">
        <f>$B12 * IFERROR(VLOOKUP("LULUCF|NOx|Respiratory hospital admissions", US_national_yearly!$D:$AM, 24, FALSE) / VLOOKUP("LULUCF|NOx|Respiratory hospital admissions", US_national_yearly!$D:$AM, 10, FALSE), 1)</f>
        <v>1.609777110908233E-5</v>
      </c>
      <c r="Q12" s="7">
        <f>$B12 * IFERROR(VLOOKUP("LULUCF|NOx|Respiratory hospital admissions", US_national_yearly!$D:$AM, 25, FALSE) / VLOOKUP("LULUCF|NOx|Respiratory hospital admissions", US_national_yearly!$D:$AM, 10, FALSE), 1)</f>
        <v>1.6266771524372801E-5</v>
      </c>
      <c r="R12" s="7">
        <f>$B12 * IFERROR(VLOOKUP("LULUCF|NOx|Respiratory hospital admissions", US_national_yearly!$D:$AM, 26, FALSE) / VLOOKUP("LULUCF|NOx|Respiratory hospital admissions", US_national_yearly!$D:$AM, 10, FALSE), 1)</f>
        <v>1.6435771939663268E-5</v>
      </c>
      <c r="S12" s="7">
        <f>$B12 * IFERROR(VLOOKUP("LULUCF|NOx|Respiratory hospital admissions", US_national_yearly!$D:$AM, 27, FALSE) / VLOOKUP("LULUCF|NOx|Respiratory hospital admissions", US_national_yearly!$D:$AM, 10, FALSE), 1)</f>
        <v>1.6526317782795091E-5</v>
      </c>
      <c r="T12" s="7">
        <f>$B12 * IFERROR(VLOOKUP("LULUCF|NOx|Respiratory hospital admissions", US_national_yearly!$D:$AM, 28, FALSE) / VLOOKUP("LULUCF|NOx|Respiratory hospital admissions", US_national_yearly!$D:$AM, 10, FALSE), 1)</f>
        <v>1.6616863625926918E-5</v>
      </c>
      <c r="U12" s="7">
        <f>$B12 * IFERROR(VLOOKUP("LULUCF|NOx|Respiratory hospital admissions", US_national_yearly!$D:$AM, 29, FALSE) / VLOOKUP("LULUCF|NOx|Respiratory hospital admissions", US_national_yearly!$D:$AM, 10, FALSE), 1)</f>
        <v>1.6707409469058742E-5</v>
      </c>
      <c r="V12" s="7">
        <f>$B12 * IFERROR(VLOOKUP("LULUCF|NOx|Respiratory hospital admissions", US_national_yearly!$D:$AM, 30, FALSE) / VLOOKUP("LULUCF|NOx|Respiratory hospital admissions", US_national_yearly!$D:$AM, 10, FALSE), 1)</f>
        <v>1.6797955312190562E-5</v>
      </c>
      <c r="W12" s="7">
        <f>$B12 * IFERROR(VLOOKUP("LULUCF|NOx|Respiratory hospital admissions", US_national_yearly!$D:$AM, 31, FALSE) / VLOOKUP("LULUCF|NOx|Respiratory hospital admissions", US_national_yearly!$D:$AM, 10, FALSE), 1)</f>
        <v>1.6888501155322389E-5</v>
      </c>
      <c r="X12" s="7">
        <f>$B12 * IFERROR(VLOOKUP("LULUCF|NOx|Respiratory hospital admissions", US_national_yearly!$D:$AM, 32, FALSE) / VLOOKUP("LULUCF|NOx|Respiratory hospital admissions", US_national_yearly!$D:$AM, 10, FALSE), 1)</f>
        <v>1.6950377475705321E-5</v>
      </c>
      <c r="Y12" s="7">
        <f>$B12 * IFERROR(VLOOKUP("LULUCF|NOx|Respiratory hospital admissions", US_national_yearly!$D:$AM, 33, FALSE) / VLOOKUP("LULUCF|NOx|Respiratory hospital admissions", US_national_yearly!$D:$AM, 10, FALSE), 1)</f>
        <v>1.7012253796088253E-5</v>
      </c>
      <c r="Z12" s="7">
        <f>$B12 * IFERROR(VLOOKUP("LULUCF|NOx|Respiratory hospital admissions", US_national_yearly!$D:$AM, 34, FALSE) / VLOOKUP("LULUCF|NOx|Respiratory hospital admissions", US_national_yearly!$D:$AM, 10, FALSE), 1)</f>
        <v>1.7074130116471189E-5</v>
      </c>
      <c r="AA12" s="7">
        <f>$B12 * IFERROR(VLOOKUP("LULUCF|NOx|Respiratory hospital admissions", US_national_yearly!$D:$AM, 35, FALSE) / VLOOKUP("LULUCF|NOx|Respiratory hospital admissions", US_national_yearly!$D:$AM, 10, FALSE), 1)</f>
        <v>1.7136006436854125E-5</v>
      </c>
      <c r="AB12" s="7">
        <f>$B12 * IFERROR(VLOOKUP("LULUCF|NOx|Respiratory hospital admissions", US_national_yearly!$D:$AM, 36, FALSE) / VLOOKUP("LULUCF|NOx|Respiratory hospital admissions", US_national_yearly!$D:$AM, 10, FALSE), 1)</f>
        <v>1.7197882757237058E-5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5.5196891160446365E-5</v>
      </c>
      <c r="C13" s="7">
        <f>$B13 * IFERROR(VLOOKUP("LULUCF|NOx|Non-fatal heart attacks", US_national_yearly!$D:$AM, 11, FALSE) / VLOOKUP("LULUCF|NOx|Non-fatal heart attacks", US_national_yearly!$D:$AM, 10, FALSE), 1)</f>
        <v>5.6774921647159608E-5</v>
      </c>
      <c r="D13" s="7">
        <f>$B13 * IFERROR(VLOOKUP("LULUCF|NOx|Non-fatal heart attacks", US_national_yearly!$D:$AM, 12, FALSE) / VLOOKUP("LULUCF|NOx|Non-fatal heart attacks", US_national_yearly!$D:$AM, 10, FALSE), 1)</f>
        <v>5.835295213387285E-5</v>
      </c>
      <c r="E13" s="7">
        <f>$B13 * IFERROR(VLOOKUP("LULUCF|NOx|Non-fatal heart attacks", US_national_yearly!$D:$AM, 13, FALSE) / VLOOKUP("LULUCF|NOx|Non-fatal heart attacks", US_national_yearly!$D:$AM, 10, FALSE), 1)</f>
        <v>5.9930982620586078E-5</v>
      </c>
      <c r="F13" s="7">
        <f>$B13 * IFERROR(VLOOKUP("LULUCF|NOx|Non-fatal heart attacks", US_national_yearly!$D:$AM, 14, FALSE) / VLOOKUP("LULUCF|NOx|Non-fatal heart attacks", US_national_yearly!$D:$AM, 10, FALSE), 1)</f>
        <v>6.1509013107299327E-5</v>
      </c>
      <c r="G13" s="7">
        <f>$B13 * IFERROR(VLOOKUP("LULUCF|NOx|Non-fatal heart attacks", US_national_yearly!$D:$AM, 15, FALSE) / VLOOKUP("LULUCF|NOx|Non-fatal heart attacks", US_national_yearly!$D:$AM, 10, FALSE), 1)</f>
        <v>6.2983679317437741E-5</v>
      </c>
      <c r="H13" s="7">
        <f>$B13 * IFERROR(VLOOKUP("LULUCF|NOx|Non-fatal heart attacks", US_national_yearly!$D:$AM, 16, FALSE) / VLOOKUP("LULUCF|NOx|Non-fatal heart attacks", US_national_yearly!$D:$AM, 10, FALSE), 1)</f>
        <v>6.4458345527576154E-5</v>
      </c>
      <c r="I13" s="7">
        <f>$B13 * IFERROR(VLOOKUP("LULUCF|NOx|Non-fatal heart attacks", US_national_yearly!$D:$AM, 17, FALSE) / VLOOKUP("LULUCF|NOx|Non-fatal heart attacks", US_national_yearly!$D:$AM, 10, FALSE), 1)</f>
        <v>6.5620951263827134E-5</v>
      </c>
      <c r="J13" s="7">
        <f>$B13 * IFERROR(VLOOKUP("LULUCF|NOx|Non-fatal heart attacks", US_national_yearly!$D:$AM, 18, FALSE) / VLOOKUP("LULUCF|NOx|Non-fatal heart attacks", US_national_yearly!$D:$AM, 10, FALSE), 1)</f>
        <v>6.6783557000078142E-5</v>
      </c>
      <c r="K13" s="7">
        <f>$B13 * IFERROR(VLOOKUP("LULUCF|NOx|Non-fatal heart attacks", US_national_yearly!$D:$AM, 19, FALSE) / VLOOKUP("LULUCF|NOx|Non-fatal heart attacks", US_national_yearly!$D:$AM, 10, FALSE), 1)</f>
        <v>6.7946162736329081E-5</v>
      </c>
      <c r="L13" s="7">
        <f>$B13 * IFERROR(VLOOKUP("LULUCF|NOx|Non-fatal heart attacks", US_national_yearly!$D:$AM, 20, FALSE) / VLOOKUP("LULUCF|NOx|Non-fatal heart attacks", US_national_yearly!$D:$AM, 10, FALSE), 1)</f>
        <v>6.9108768472580129E-5</v>
      </c>
      <c r="M13" s="7">
        <f>$B13 * IFERROR(VLOOKUP("LULUCF|NOx|Non-fatal heart attacks", US_national_yearly!$D:$AM, 21, FALSE) / VLOOKUP("LULUCF|NOx|Non-fatal heart attacks", US_national_yearly!$D:$AM, 10, FALSE), 1)</f>
        <v>7.0271374208831096E-5</v>
      </c>
      <c r="N13" s="7">
        <f>$B13 * IFERROR(VLOOKUP("LULUCF|NOx|Non-fatal heart attacks", US_national_yearly!$D:$AM, 22, FALSE) / VLOOKUP("LULUCF|NOx|Non-fatal heart attacks", US_national_yearly!$D:$AM, 10, FALSE), 1)</f>
        <v>7.0970833077612936E-5</v>
      </c>
      <c r="O13" s="7">
        <f>$B13 * IFERROR(VLOOKUP("LULUCF|NOx|Non-fatal heart attacks", US_national_yearly!$D:$AM, 23, FALSE) / VLOOKUP("LULUCF|NOx|Non-fatal heart attacks", US_national_yearly!$D:$AM, 10, FALSE), 1)</f>
        <v>7.1670291946394763E-5</v>
      </c>
      <c r="P13" s="7">
        <f>$B13 * IFERROR(VLOOKUP("LULUCF|NOx|Non-fatal heart attacks", US_national_yearly!$D:$AM, 24, FALSE) / VLOOKUP("LULUCF|NOx|Non-fatal heart attacks", US_national_yearly!$D:$AM, 10, FALSE), 1)</f>
        <v>7.236975081517659E-5</v>
      </c>
      <c r="Q13" s="7">
        <f>$B13 * IFERROR(VLOOKUP("LULUCF|NOx|Non-fatal heart attacks", US_national_yearly!$D:$AM, 25, FALSE) / VLOOKUP("LULUCF|NOx|Non-fatal heart attacks", US_national_yearly!$D:$AM, 10, FALSE), 1)</f>
        <v>7.306920968395843E-5</v>
      </c>
      <c r="R13" s="7">
        <f>$B13 * IFERROR(VLOOKUP("LULUCF|NOx|Non-fatal heart attacks", US_national_yearly!$D:$AM, 26, FALSE) / VLOOKUP("LULUCF|NOx|Non-fatal heart attacks", US_national_yearly!$D:$AM, 10, FALSE), 1)</f>
        <v>7.376866855274027E-5</v>
      </c>
      <c r="S13" s="7">
        <f>$B13 * IFERROR(VLOOKUP("LULUCF|NOx|Non-fatal heart attacks", US_national_yearly!$D:$AM, 27, FALSE) / VLOOKUP("LULUCF|NOx|Non-fatal heart attacks", US_national_yearly!$D:$AM, 10, FALSE), 1)</f>
        <v>7.408594793333745E-5</v>
      </c>
      <c r="T13" s="7">
        <f>$B13 * IFERROR(VLOOKUP("LULUCF|NOx|Non-fatal heart attacks", US_national_yearly!$D:$AM, 28, FALSE) / VLOOKUP("LULUCF|NOx|Non-fatal heart attacks", US_national_yearly!$D:$AM, 10, FALSE), 1)</f>
        <v>7.4403227313934642E-5</v>
      </c>
      <c r="U13" s="7">
        <f>$B13 * IFERROR(VLOOKUP("LULUCF|NOx|Non-fatal heart attacks", US_national_yearly!$D:$AM, 29, FALSE) / VLOOKUP("LULUCF|NOx|Non-fatal heart attacks", US_national_yearly!$D:$AM, 10, FALSE), 1)</f>
        <v>7.4720506694531821E-5</v>
      </c>
      <c r="V13" s="7">
        <f>$B13 * IFERROR(VLOOKUP("LULUCF|NOx|Non-fatal heart attacks", US_national_yearly!$D:$AM, 30, FALSE) / VLOOKUP("LULUCF|NOx|Non-fatal heart attacks", US_national_yearly!$D:$AM, 10, FALSE), 1)</f>
        <v>7.5037786075129E-5</v>
      </c>
      <c r="W13" s="7">
        <f>$B13 * IFERROR(VLOOKUP("LULUCF|NOx|Non-fatal heart attacks", US_national_yearly!$D:$AM, 31, FALSE) / VLOOKUP("LULUCF|NOx|Non-fatal heart attacks", US_national_yearly!$D:$AM, 10, FALSE), 1)</f>
        <v>7.5355065455726193E-5</v>
      </c>
      <c r="X13" s="7">
        <f>$B13 * IFERROR(VLOOKUP("LULUCF|NOx|Non-fatal heart attacks", US_national_yearly!$D:$AM, 32, FALSE) / VLOOKUP("LULUCF|NOx|Non-fatal heart attacks", US_national_yearly!$D:$AM, 10, FALSE), 1)</f>
        <v>7.5567088232514465E-5</v>
      </c>
      <c r="Y13" s="7">
        <f>$B13 * IFERROR(VLOOKUP("LULUCF|NOx|Non-fatal heart attacks", US_national_yearly!$D:$AM, 33, FALSE) / VLOOKUP("LULUCF|NOx|Non-fatal heart attacks", US_national_yearly!$D:$AM, 10, FALSE), 1)</f>
        <v>7.577911100930275E-5</v>
      </c>
      <c r="Z13" s="7">
        <f>$B13 * IFERROR(VLOOKUP("LULUCF|NOx|Non-fatal heart attacks", US_national_yearly!$D:$AM, 34, FALSE) / VLOOKUP("LULUCF|NOx|Non-fatal heart attacks", US_national_yearly!$D:$AM, 10, FALSE), 1)</f>
        <v>7.5991133786091009E-5</v>
      </c>
      <c r="AA13" s="7">
        <f>$B13 * IFERROR(VLOOKUP("LULUCF|NOx|Non-fatal heart attacks", US_national_yearly!$D:$AM, 35, FALSE) / VLOOKUP("LULUCF|NOx|Non-fatal heart attacks", US_national_yearly!$D:$AM, 10, FALSE), 1)</f>
        <v>7.6203156562879281E-5</v>
      </c>
      <c r="AB13" s="7">
        <f>$B13 * IFERROR(VLOOKUP("LULUCF|NOx|Non-fatal heart attacks", US_national_yearly!$D:$AM, 36, FALSE) / VLOOKUP("LULUCF|NOx|Non-fatal heart attacks", US_national_yearly!$D:$AM, 10, FALSE), 1)</f>
        <v>7.6415179339667566E-5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3.7460981159006104E-2</v>
      </c>
      <c r="C14" s="7">
        <f>$B14 * IFERROR(VLOOKUP("LULUCF|NOx|Minor restricted activity days", US_national_yearly!$D:$AM, 11, FALSE) / VLOOKUP("LULUCF|NOx|Minor restricted activity days", US_national_yearly!$D:$AM, 10, FALSE), 1)</f>
        <v>3.7518415129773108E-2</v>
      </c>
      <c r="D14" s="7">
        <f>$B14 * IFERROR(VLOOKUP("LULUCF|NOx|Minor restricted activity days", US_national_yearly!$D:$AM, 12, FALSE) / VLOOKUP("LULUCF|NOx|Minor restricted activity days", US_national_yearly!$D:$AM, 10, FALSE), 1)</f>
        <v>3.7575849100540126E-2</v>
      </c>
      <c r="E14" s="7">
        <f>$B14 * IFERROR(VLOOKUP("LULUCF|NOx|Minor restricted activity days", US_national_yearly!$D:$AM, 13, FALSE) / VLOOKUP("LULUCF|NOx|Minor restricted activity days", US_national_yearly!$D:$AM, 10, FALSE), 1)</f>
        <v>3.7633283071307137E-2</v>
      </c>
      <c r="F14" s="7">
        <f>$B14 * IFERROR(VLOOKUP("LULUCF|NOx|Minor restricted activity days", US_national_yearly!$D:$AM, 14, FALSE) / VLOOKUP("LULUCF|NOx|Minor restricted activity days", US_national_yearly!$D:$AM, 10, FALSE), 1)</f>
        <v>3.7690717042074141E-2</v>
      </c>
      <c r="G14" s="7">
        <f>$B14 * IFERROR(VLOOKUP("LULUCF|NOx|Minor restricted activity days", US_national_yearly!$D:$AM, 15, FALSE) / VLOOKUP("LULUCF|NOx|Minor restricted activity days", US_national_yearly!$D:$AM, 10, FALSE), 1)</f>
        <v>3.7794429122819634E-2</v>
      </c>
      <c r="H14" s="7">
        <f>$B14 * IFERROR(VLOOKUP("LULUCF|NOx|Minor restricted activity days", US_national_yearly!$D:$AM, 16, FALSE) / VLOOKUP("LULUCF|NOx|Minor restricted activity days", US_national_yearly!$D:$AM, 10, FALSE), 1)</f>
        <v>3.7898141203565119E-2</v>
      </c>
      <c r="I14" s="7">
        <f>$B14 * IFERROR(VLOOKUP("LULUCF|NOx|Minor restricted activity days", US_national_yearly!$D:$AM, 17, FALSE) / VLOOKUP("LULUCF|NOx|Minor restricted activity days", US_national_yearly!$D:$AM, 10, FALSE), 1)</f>
        <v>3.8100997932303253E-2</v>
      </c>
      <c r="J14" s="7">
        <f>$B14 * IFERROR(VLOOKUP("LULUCF|NOx|Minor restricted activity days", US_national_yearly!$D:$AM, 18, FALSE) / VLOOKUP("LULUCF|NOx|Minor restricted activity days", US_national_yearly!$D:$AM, 10, FALSE), 1)</f>
        <v>3.830385466104138E-2</v>
      </c>
      <c r="K14" s="7">
        <f>$B14 * IFERROR(VLOOKUP("LULUCF|NOx|Minor restricted activity days", US_national_yearly!$D:$AM, 19, FALSE) / VLOOKUP("LULUCF|NOx|Minor restricted activity days", US_national_yearly!$D:$AM, 10, FALSE), 1)</f>
        <v>3.8506711389779513E-2</v>
      </c>
      <c r="L14" s="7">
        <f>$B14 * IFERROR(VLOOKUP("LULUCF|NOx|Minor restricted activity days", US_national_yearly!$D:$AM, 20, FALSE) / VLOOKUP("LULUCF|NOx|Minor restricted activity days", US_national_yearly!$D:$AM, 10, FALSE), 1)</f>
        <v>3.870956811851764E-2</v>
      </c>
      <c r="M14" s="7">
        <f>$B14 * IFERROR(VLOOKUP("LULUCF|NOx|Minor restricted activity days", US_national_yearly!$D:$AM, 21, FALSE) / VLOOKUP("LULUCF|NOx|Minor restricted activity days", US_national_yearly!$D:$AM, 10, FALSE), 1)</f>
        <v>3.8912424847255773E-2</v>
      </c>
      <c r="N14" s="7">
        <f>$B14 * IFERROR(VLOOKUP("LULUCF|NOx|Minor restricted activity days", US_national_yearly!$D:$AM, 22, FALSE) / VLOOKUP("LULUCF|NOx|Minor restricted activity days", US_national_yearly!$D:$AM, 10, FALSE), 1)</f>
        <v>3.9202869686041801E-2</v>
      </c>
      <c r="O14" s="7">
        <f>$B14 * IFERROR(VLOOKUP("LULUCF|NOx|Minor restricted activity days", US_national_yearly!$D:$AM, 23, FALSE) / VLOOKUP("LULUCF|NOx|Minor restricted activity days", US_national_yearly!$D:$AM, 10, FALSE), 1)</f>
        <v>3.9493314524827829E-2</v>
      </c>
      <c r="P14" s="7">
        <f>$B14 * IFERROR(VLOOKUP("LULUCF|NOx|Minor restricted activity days", US_national_yearly!$D:$AM, 24, FALSE) / VLOOKUP("LULUCF|NOx|Minor restricted activity days", US_national_yearly!$D:$AM, 10, FALSE), 1)</f>
        <v>3.9783759363613856E-2</v>
      </c>
      <c r="Q14" s="7">
        <f>$B14 * IFERROR(VLOOKUP("LULUCF|NOx|Minor restricted activity days", US_national_yearly!$D:$AM, 25, FALSE) / VLOOKUP("LULUCF|NOx|Minor restricted activity days", US_national_yearly!$D:$AM, 10, FALSE), 1)</f>
        <v>4.0074204202399884E-2</v>
      </c>
      <c r="R14" s="7">
        <f>$B14 * IFERROR(VLOOKUP("LULUCF|NOx|Minor restricted activity days", US_national_yearly!$D:$AM, 26, FALSE) / VLOOKUP("LULUCF|NOx|Minor restricted activity days", US_national_yearly!$D:$AM, 10, FALSE), 1)</f>
        <v>4.0364649041185911E-2</v>
      </c>
      <c r="S14" s="7">
        <f>$B14 * IFERROR(VLOOKUP("LULUCF|NOx|Minor restricted activity days", US_national_yearly!$D:$AM, 27, FALSE) / VLOOKUP("LULUCF|NOx|Minor restricted activity days", US_national_yearly!$D:$AM, 10, FALSE), 1)</f>
        <v>4.0655032814566242E-2</v>
      </c>
      <c r="T14" s="7">
        <f>$B14 * IFERROR(VLOOKUP("LULUCF|NOx|Minor restricted activity days", US_national_yearly!$D:$AM, 28, FALSE) / VLOOKUP("LULUCF|NOx|Minor restricted activity days", US_national_yearly!$D:$AM, 10, FALSE), 1)</f>
        <v>4.0945416587946558E-2</v>
      </c>
      <c r="U14" s="7">
        <f>$B14 * IFERROR(VLOOKUP("LULUCF|NOx|Minor restricted activity days", US_national_yearly!$D:$AM, 29, FALSE) / VLOOKUP("LULUCF|NOx|Minor restricted activity days", US_national_yearly!$D:$AM, 10, FALSE), 1)</f>
        <v>4.1235800361326881E-2</v>
      </c>
      <c r="V14" s="7">
        <f>$B14 * IFERROR(VLOOKUP("LULUCF|NOx|Minor restricted activity days", US_national_yearly!$D:$AM, 30, FALSE) / VLOOKUP("LULUCF|NOx|Minor restricted activity days", US_national_yearly!$D:$AM, 10, FALSE), 1)</f>
        <v>4.1526184134707204E-2</v>
      </c>
      <c r="W14" s="7">
        <f>$B14 * IFERROR(VLOOKUP("LULUCF|NOx|Minor restricted activity days", US_national_yearly!$D:$AM, 31, FALSE) / VLOOKUP("LULUCF|NOx|Minor restricted activity days", US_national_yearly!$D:$AM, 10, FALSE), 1)</f>
        <v>4.1816567908087521E-2</v>
      </c>
      <c r="X14" s="7">
        <f>$B14 * IFERROR(VLOOKUP("LULUCF|NOx|Minor restricted activity days", US_national_yearly!$D:$AM, 32, FALSE) / VLOOKUP("LULUCF|NOx|Minor restricted activity days", US_national_yearly!$D:$AM, 10, FALSE), 1)</f>
        <v>4.2062076326069758E-2</v>
      </c>
      <c r="Y14" s="7">
        <f>$B14 * IFERROR(VLOOKUP("LULUCF|NOx|Minor restricted activity days", US_national_yearly!$D:$AM, 33, FALSE) / VLOOKUP("LULUCF|NOx|Minor restricted activity days", US_national_yearly!$D:$AM, 10, FALSE), 1)</f>
        <v>4.2307584744051996E-2</v>
      </c>
      <c r="Z14" s="7">
        <f>$B14 * IFERROR(VLOOKUP("LULUCF|NOx|Minor restricted activity days", US_national_yearly!$D:$AM, 34, FALSE) / VLOOKUP("LULUCF|NOx|Minor restricted activity days", US_national_yearly!$D:$AM, 10, FALSE), 1)</f>
        <v>4.2553093162034233E-2</v>
      </c>
      <c r="AA14" s="7">
        <f>$B14 * IFERROR(VLOOKUP("LULUCF|NOx|Minor restricted activity days", US_national_yearly!$D:$AM, 35, FALSE) / VLOOKUP("LULUCF|NOx|Minor restricted activity days", US_national_yearly!$D:$AM, 10, FALSE), 1)</f>
        <v>4.2798601580016464E-2</v>
      </c>
      <c r="AB14" s="7">
        <f>$B14 * IFERROR(VLOOKUP("LULUCF|NOx|Minor restricted activity days", US_national_yearly!$D:$AM, 36, FALSE) / VLOOKUP("LULUCF|NOx|Minor restricted activity days", US_national_yearly!$D:$AM, 10, FALSE), 1)</f>
        <v>4.3044109997998702E-2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6.3203092335970034E-3</v>
      </c>
      <c r="C15" s="7">
        <f>$B15 * IFERROR(VLOOKUP("LULUCF|NOx|Work loss days", US_national_yearly!$D:$AM, 11, FALSE) / VLOOKUP("LULUCF|NOx|Work loss days", US_national_yearly!$D:$AM, 10, FALSE), 1)</f>
        <v>6.3343684214759808E-3</v>
      </c>
      <c r="D15" s="7">
        <f>$B15 * IFERROR(VLOOKUP("LULUCF|NOx|Work loss days", US_national_yearly!$D:$AM, 12, FALSE) / VLOOKUP("LULUCF|NOx|Work loss days", US_national_yearly!$D:$AM, 10, FALSE), 1)</f>
        <v>6.34842760935496E-3</v>
      </c>
      <c r="E15" s="7">
        <f>$B15 * IFERROR(VLOOKUP("LULUCF|NOx|Work loss days", US_national_yearly!$D:$AM, 13, FALSE) / VLOOKUP("LULUCF|NOx|Work loss days", US_national_yearly!$D:$AM, 10, FALSE), 1)</f>
        <v>6.3624867972339374E-3</v>
      </c>
      <c r="F15" s="7">
        <f>$B15 * IFERROR(VLOOKUP("LULUCF|NOx|Work loss days", US_national_yearly!$D:$AM, 14, FALSE) / VLOOKUP("LULUCF|NOx|Work loss days", US_national_yearly!$D:$AM, 10, FALSE), 1)</f>
        <v>6.3765459851129165E-3</v>
      </c>
      <c r="G15" s="7">
        <f>$B15 * IFERROR(VLOOKUP("LULUCF|NOx|Work loss days", US_national_yearly!$D:$AM, 15, FALSE) / VLOOKUP("LULUCF|NOx|Work loss days", US_national_yearly!$D:$AM, 10, FALSE), 1)</f>
        <v>6.3970725193473396E-3</v>
      </c>
      <c r="H15" s="7">
        <f>$B15 * IFERROR(VLOOKUP("LULUCF|NOx|Work loss days", US_national_yearly!$D:$AM, 16, FALSE) / VLOOKUP("LULUCF|NOx|Work loss days", US_national_yearly!$D:$AM, 10, FALSE), 1)</f>
        <v>6.4175990535817644E-3</v>
      </c>
      <c r="I15" s="7">
        <f>$B15 * IFERROR(VLOOKUP("LULUCF|NOx|Work loss days", US_national_yearly!$D:$AM, 17, FALSE) / VLOOKUP("LULUCF|NOx|Work loss days", US_national_yearly!$D:$AM, 10, FALSE), 1)</f>
        <v>6.4508509265810317E-3</v>
      </c>
      <c r="J15" s="7">
        <f>$B15 * IFERROR(VLOOKUP("LULUCF|NOx|Work loss days", US_national_yearly!$D:$AM, 18, FALSE) / VLOOKUP("LULUCF|NOx|Work loss days", US_national_yearly!$D:$AM, 10, FALSE), 1)</f>
        <v>6.4841027995803015E-3</v>
      </c>
      <c r="K15" s="7">
        <f>$B15 * IFERROR(VLOOKUP("LULUCF|NOx|Work loss days", US_national_yearly!$D:$AM, 19, FALSE) / VLOOKUP("LULUCF|NOx|Work loss days", US_national_yearly!$D:$AM, 10, FALSE), 1)</f>
        <v>6.5173546725795697E-3</v>
      </c>
      <c r="L15" s="7">
        <f>$B15 * IFERROR(VLOOKUP("LULUCF|NOx|Work loss days", US_national_yearly!$D:$AM, 20, FALSE) / VLOOKUP("LULUCF|NOx|Work loss days", US_national_yearly!$D:$AM, 10, FALSE), 1)</f>
        <v>6.5506065455788378E-3</v>
      </c>
      <c r="M15" s="7">
        <f>$B15 * IFERROR(VLOOKUP("LULUCF|NOx|Work loss days", US_national_yearly!$D:$AM, 21, FALSE) / VLOOKUP("LULUCF|NOx|Work loss days", US_national_yearly!$D:$AM, 10, FALSE), 1)</f>
        <v>6.5838584185781068E-3</v>
      </c>
      <c r="N15" s="7">
        <f>$B15 * IFERROR(VLOOKUP("LULUCF|NOx|Work loss days", US_national_yearly!$D:$AM, 22, FALSE) / VLOOKUP("LULUCF|NOx|Work loss days", US_national_yearly!$D:$AM, 10, FALSE), 1)</f>
        <v>6.6271336908608402E-3</v>
      </c>
      <c r="O15" s="7">
        <f>$B15 * IFERROR(VLOOKUP("LULUCF|NOx|Work loss days", US_national_yearly!$D:$AM, 23, FALSE) / VLOOKUP("LULUCF|NOx|Work loss days", US_national_yearly!$D:$AM, 10, FALSE), 1)</f>
        <v>6.6704089631435745E-3</v>
      </c>
      <c r="P15" s="7">
        <f>$B15 * IFERROR(VLOOKUP("LULUCF|NOx|Work loss days", US_national_yearly!$D:$AM, 24, FALSE) / VLOOKUP("LULUCF|NOx|Work loss days", US_national_yearly!$D:$AM, 10, FALSE), 1)</f>
        <v>6.7136842354263079E-3</v>
      </c>
      <c r="Q15" s="7">
        <f>$B15 * IFERROR(VLOOKUP("LULUCF|NOx|Work loss days", US_national_yearly!$D:$AM, 25, FALSE) / VLOOKUP("LULUCF|NOx|Work loss days", US_national_yearly!$D:$AM, 10, FALSE), 1)</f>
        <v>6.7569595077090396E-3</v>
      </c>
      <c r="R15" s="7">
        <f>$B15 * IFERROR(VLOOKUP("LULUCF|NOx|Work loss days", US_national_yearly!$D:$AM, 26, FALSE) / VLOOKUP("LULUCF|NOx|Work loss days", US_national_yearly!$D:$AM, 10, FALSE), 1)</f>
        <v>6.8002347799917748E-3</v>
      </c>
      <c r="S15" s="7">
        <f>$B15 * IFERROR(VLOOKUP("LULUCF|NOx|Work loss days", US_national_yearly!$D:$AM, 27, FALSE) / VLOOKUP("LULUCF|NOx|Work loss days", US_national_yearly!$D:$AM, 10, FALSE), 1)</f>
        <v>6.8484811753239559E-3</v>
      </c>
      <c r="T15" s="7">
        <f>$B15 * IFERROR(VLOOKUP("LULUCF|NOx|Work loss days", US_national_yearly!$D:$AM, 28, FALSE) / VLOOKUP("LULUCF|NOx|Work loss days", US_national_yearly!$D:$AM, 10, FALSE), 1)</f>
        <v>6.8967275706561361E-3</v>
      </c>
      <c r="U15" s="7">
        <f>$B15 * IFERROR(VLOOKUP("LULUCF|NOx|Work loss days", US_national_yearly!$D:$AM, 29, FALSE) / VLOOKUP("LULUCF|NOx|Work loss days", US_national_yearly!$D:$AM, 10, FALSE), 1)</f>
        <v>6.9449739659883155E-3</v>
      </c>
      <c r="V15" s="7">
        <f>$B15 * IFERROR(VLOOKUP("LULUCF|NOx|Work loss days", US_national_yearly!$D:$AM, 30, FALSE) / VLOOKUP("LULUCF|NOx|Work loss days", US_national_yearly!$D:$AM, 10, FALSE), 1)</f>
        <v>6.9932203613204957E-3</v>
      </c>
      <c r="W15" s="7">
        <f>$B15 * IFERROR(VLOOKUP("LULUCF|NOx|Work loss days", US_national_yearly!$D:$AM, 31, FALSE) / VLOOKUP("LULUCF|NOx|Work loss days", US_national_yearly!$D:$AM, 10, FALSE), 1)</f>
        <v>7.0414667566526768E-3</v>
      </c>
      <c r="X15" s="7">
        <f>$B15 * IFERROR(VLOOKUP("LULUCF|NOx|Work loss days", US_national_yearly!$D:$AM, 32, FALSE) / VLOOKUP("LULUCF|NOx|Work loss days", US_national_yearly!$D:$AM, 10, FALSE), 1)</f>
        <v>7.0833420554604655E-3</v>
      </c>
      <c r="Y15" s="7">
        <f>$B15 * IFERROR(VLOOKUP("LULUCF|NOx|Work loss days", US_national_yearly!$D:$AM, 33, FALSE) / VLOOKUP("LULUCF|NOx|Work loss days", US_national_yearly!$D:$AM, 10, FALSE), 1)</f>
        <v>7.125217354268255E-3</v>
      </c>
      <c r="Z15" s="7">
        <f>$B15 * IFERROR(VLOOKUP("LULUCF|NOx|Work loss days", US_national_yearly!$D:$AM, 34, FALSE) / VLOOKUP("LULUCF|NOx|Work loss days", US_national_yearly!$D:$AM, 10, FALSE), 1)</f>
        <v>7.1670926530760437E-3</v>
      </c>
      <c r="AA15" s="7">
        <f>$B15 * IFERROR(VLOOKUP("LULUCF|NOx|Work loss days", US_national_yearly!$D:$AM, 35, FALSE) / VLOOKUP("LULUCF|NOx|Work loss days", US_national_yearly!$D:$AM, 10, FALSE), 1)</f>
        <v>7.2089679518838323E-3</v>
      </c>
      <c r="AB15" s="7">
        <f>$B15 * IFERROR(VLOOKUP("LULUCF|NOx|Work loss days", US_national_yearly!$D:$AM, 36, FALSE) / VLOOKUP("LULUCF|NOx|Work loss days", US_national_yearly!$D:$AM, 10, FALSE), 1)</f>
        <v>7.2508432506916218E-3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1.0531806091907286E-5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1.0841279335227671E-5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1.1150752578548055E-5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1.1460225821868438E-5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1.1769699065188824E-5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1.2063647467329827E-5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1.2357595869470831E-5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1.2604783798832143E-5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1.2851971728193455E-5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1.3099159657554765E-5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1.3346347586916076E-5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1.359353551627739E-5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1.3748110319026114E-5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1.3902685121774841E-5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1.4057259924523566E-5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1.4211834727272293E-5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1.4366409530021017E-5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1.4436937767816874E-5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1.450746600561273E-5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1.4577994243408584E-5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1.4648522481204441E-5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1.4719050719000296E-5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1.475830212852053E-5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1.4797553538040765E-5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1.4836804947560999E-5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1.4876056357081233E-5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1.4915307766601467E-5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1.3055447732626617E-4</v>
      </c>
      <c r="C2" s="7">
        <f>$B2 * IFERROR(VLOOKUP("LULUCF|SO2|Premature mortality", US_national_yearly!$D:$AM, 11, FALSE) / VLOOKUP("LULUCF|SO2|Premature mortality", US_national_yearly!$D:$AM, 10, FALSE), 1)</f>
        <v>1.3220787914321937E-4</v>
      </c>
      <c r="D2" s="7">
        <f>$B2 * IFERROR(VLOOKUP("LULUCF|SO2|Premature mortality", US_national_yearly!$D:$AM, 12, FALSE) / VLOOKUP("LULUCF|SO2|Premature mortality", US_national_yearly!$D:$AM, 10, FALSE), 1)</f>
        <v>1.3386128096017256E-4</v>
      </c>
      <c r="E2" s="7">
        <f>$B2 * IFERROR(VLOOKUP("LULUCF|SO2|Premature mortality", US_national_yearly!$D:$AM, 13, FALSE) / VLOOKUP("LULUCF|SO2|Premature mortality", US_national_yearly!$D:$AM, 10, FALSE), 1)</f>
        <v>1.3551468277712576E-4</v>
      </c>
      <c r="F2" s="7">
        <f>$B2 * IFERROR(VLOOKUP("LULUCF|SO2|Premature mortality", US_national_yearly!$D:$AM, 14, FALSE) / VLOOKUP("LULUCF|SO2|Premature mortality", US_national_yearly!$D:$AM, 10, FALSE), 1)</f>
        <v>1.3716808459407893E-4</v>
      </c>
      <c r="G2" s="7">
        <f>$B2 * IFERROR(VLOOKUP("LULUCF|SO2|Premature mortality", US_national_yearly!$D:$AM, 15, FALSE) / VLOOKUP("LULUCF|SO2|Premature mortality", US_national_yearly!$D:$AM, 10, FALSE), 1)</f>
        <v>1.4035409619069829E-4</v>
      </c>
      <c r="H2" s="7">
        <f>$B2 * IFERROR(VLOOKUP("LULUCF|SO2|Premature mortality", US_national_yearly!$D:$AM, 16, FALSE) / VLOOKUP("LULUCF|SO2|Premature mortality", US_national_yearly!$D:$AM, 10, FALSE), 1)</f>
        <v>1.4354010778731762E-4</v>
      </c>
      <c r="I2" s="7">
        <f>$B2 * IFERROR(VLOOKUP("LULUCF|SO2|Premature mortality", US_national_yearly!$D:$AM, 17, FALSE) / VLOOKUP("LULUCF|SO2|Premature mortality", US_national_yearly!$D:$AM, 10, FALSE), 1)</f>
        <v>1.4564561947010013E-4</v>
      </c>
      <c r="J2" s="7">
        <f>$B2 * IFERROR(VLOOKUP("LULUCF|SO2|Premature mortality", US_national_yearly!$D:$AM, 18, FALSE) / VLOOKUP("LULUCF|SO2|Premature mortality", US_national_yearly!$D:$AM, 10, FALSE), 1)</f>
        <v>1.4775113115288266E-4</v>
      </c>
      <c r="K2" s="7">
        <f>$B2 * IFERROR(VLOOKUP("LULUCF|SO2|Premature mortality", US_national_yearly!$D:$AM, 19, FALSE) / VLOOKUP("LULUCF|SO2|Premature mortality", US_national_yearly!$D:$AM, 10, FALSE), 1)</f>
        <v>1.4985664283566515E-4</v>
      </c>
      <c r="L2" s="7">
        <f>$B2 * IFERROR(VLOOKUP("LULUCF|SO2|Premature mortality", US_national_yearly!$D:$AM, 20, FALSE) / VLOOKUP("LULUCF|SO2|Premature mortality", US_national_yearly!$D:$AM, 10, FALSE), 1)</f>
        <v>1.5196215451844769E-4</v>
      </c>
      <c r="M2" s="7">
        <f>$B2 * IFERROR(VLOOKUP("LULUCF|SO2|Premature mortality", US_national_yearly!$D:$AM, 21, FALSE) / VLOOKUP("LULUCF|SO2|Premature mortality", US_national_yearly!$D:$AM, 10, FALSE), 1)</f>
        <v>1.540676662012302E-4</v>
      </c>
      <c r="N2" s="7">
        <f>$B2 * IFERROR(VLOOKUP("LULUCF|SO2|Premature mortality", US_national_yearly!$D:$AM, 22, FALSE) / VLOOKUP("LULUCF|SO2|Premature mortality", US_national_yearly!$D:$AM, 10, FALSE), 1)</f>
        <v>1.5571279882146163E-4</v>
      </c>
      <c r="O2" s="7">
        <f>$B2 * IFERROR(VLOOKUP("LULUCF|SO2|Premature mortality", US_national_yearly!$D:$AM, 23, FALSE) / VLOOKUP("LULUCF|SO2|Premature mortality", US_national_yearly!$D:$AM, 10, FALSE), 1)</f>
        <v>1.5735793144169307E-4</v>
      </c>
      <c r="P2" s="7">
        <f>$B2 * IFERROR(VLOOKUP("LULUCF|SO2|Premature mortality", US_national_yearly!$D:$AM, 24, FALSE) / VLOOKUP("LULUCF|SO2|Premature mortality", US_national_yearly!$D:$AM, 10, FALSE), 1)</f>
        <v>1.590030640619245E-4</v>
      </c>
      <c r="Q2" s="7">
        <f>$B2 * IFERROR(VLOOKUP("LULUCF|SO2|Premature mortality", US_national_yearly!$D:$AM, 25, FALSE) / VLOOKUP("LULUCF|SO2|Premature mortality", US_national_yearly!$D:$AM, 10, FALSE), 1)</f>
        <v>1.6064819668215594E-4</v>
      </c>
      <c r="R2" s="7">
        <f>$B2 * IFERROR(VLOOKUP("LULUCF|SO2|Premature mortality", US_national_yearly!$D:$AM, 26, FALSE) / VLOOKUP("LULUCF|SO2|Premature mortality", US_national_yearly!$D:$AM, 10, FALSE), 1)</f>
        <v>1.6229332930238737E-4</v>
      </c>
      <c r="S2" s="7">
        <f>$B2 * IFERROR(VLOOKUP("LULUCF|SO2|Premature mortality", US_national_yearly!$D:$AM, 27, FALSE) / VLOOKUP("LULUCF|SO2|Premature mortality", US_national_yearly!$D:$AM, 10, FALSE), 1)</f>
        <v>1.6317431972578993E-4</v>
      </c>
      <c r="T2" s="7">
        <f>$B2 * IFERROR(VLOOKUP("LULUCF|SO2|Premature mortality", US_national_yearly!$D:$AM, 28, FALSE) / VLOOKUP("LULUCF|SO2|Premature mortality", US_national_yearly!$D:$AM, 10, FALSE), 1)</f>
        <v>1.6405531014919246E-4</v>
      </c>
      <c r="U2" s="7">
        <f>$B2 * IFERROR(VLOOKUP("LULUCF|SO2|Premature mortality", US_national_yearly!$D:$AM, 29, FALSE) / VLOOKUP("LULUCF|SO2|Premature mortality", US_national_yearly!$D:$AM, 10, FALSE), 1)</f>
        <v>1.6493630057259502E-4</v>
      </c>
      <c r="V2" s="7">
        <f>$B2 * IFERROR(VLOOKUP("LULUCF|SO2|Premature mortality", US_national_yearly!$D:$AM, 30, FALSE) / VLOOKUP("LULUCF|SO2|Premature mortality", US_national_yearly!$D:$AM, 10, FALSE), 1)</f>
        <v>1.6581729099599755E-4</v>
      </c>
      <c r="W2" s="7">
        <f>$B2 * IFERROR(VLOOKUP("LULUCF|SO2|Premature mortality", US_national_yearly!$D:$AM, 31, FALSE) / VLOOKUP("LULUCF|SO2|Premature mortality", US_national_yearly!$D:$AM, 10, FALSE), 1)</f>
        <v>1.6669828141940011E-4</v>
      </c>
      <c r="X2" s="7">
        <f>$B2 * IFERROR(VLOOKUP("LULUCF|SO2|Premature mortality", US_national_yearly!$D:$AM, 32, FALSE) / VLOOKUP("LULUCF|SO2|Premature mortality", US_national_yearly!$D:$AM, 10, FALSE), 1)</f>
        <v>1.668772573186614E-4</v>
      </c>
      <c r="Y2" s="7">
        <f>$B2 * IFERROR(VLOOKUP("LULUCF|SO2|Premature mortality", US_national_yearly!$D:$AM, 33, FALSE) / VLOOKUP("LULUCF|SO2|Premature mortality", US_national_yearly!$D:$AM, 10, FALSE), 1)</f>
        <v>1.6705623321792268E-4</v>
      </c>
      <c r="Z2" s="7">
        <f>$B2 * IFERROR(VLOOKUP("LULUCF|SO2|Premature mortality", US_national_yearly!$D:$AM, 34, FALSE) / VLOOKUP("LULUCF|SO2|Premature mortality", US_national_yearly!$D:$AM, 10, FALSE), 1)</f>
        <v>1.67235209117184E-4</v>
      </c>
      <c r="AA2" s="7">
        <f>$B2 * IFERROR(VLOOKUP("LULUCF|SO2|Premature mortality", US_national_yearly!$D:$AM, 35, FALSE) / VLOOKUP("LULUCF|SO2|Premature mortality", US_national_yearly!$D:$AM, 10, FALSE), 1)</f>
        <v>1.6741418501644529E-4</v>
      </c>
      <c r="AB2" s="7">
        <f>$B2 * IFERROR(VLOOKUP("LULUCF|SO2|Premature mortality", US_national_yearly!$D:$AM, 36, FALSE) / VLOOKUP("LULUCF|SO2|Premature mortality", US_national_yearly!$D:$AM, 10, FALSE), 1)</f>
        <v>1.6759316091570657E-4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2.4766827592961367E-7</v>
      </c>
      <c r="C3" s="7">
        <f>$B3 * IFERROR(VLOOKUP("LULUCF|SO2|Infant mortality", US_national_yearly!$D:$AM, 11, FALSE) / VLOOKUP("LULUCF|SO2|Infant mortality", US_national_yearly!$D:$AM, 10, FALSE), 1)</f>
        <v>2.4554076026330503E-7</v>
      </c>
      <c r="D3" s="7">
        <f>$B3 * IFERROR(VLOOKUP("LULUCF|SO2|Infant mortality", US_national_yearly!$D:$AM, 12, FALSE) / VLOOKUP("LULUCF|SO2|Infant mortality", US_national_yearly!$D:$AM, 10, FALSE), 1)</f>
        <v>2.4341324459699639E-7</v>
      </c>
      <c r="E3" s="7">
        <f>$B3 * IFERROR(VLOOKUP("LULUCF|SO2|Infant mortality", US_national_yearly!$D:$AM, 13, FALSE) / VLOOKUP("LULUCF|SO2|Infant mortality", US_national_yearly!$D:$AM, 10, FALSE), 1)</f>
        <v>2.4128572893068769E-7</v>
      </c>
      <c r="F3" s="7">
        <f>$B3 * IFERROR(VLOOKUP("LULUCF|SO2|Infant mortality", US_national_yearly!$D:$AM, 14, FALSE) / VLOOKUP("LULUCF|SO2|Infant mortality", US_national_yearly!$D:$AM, 10, FALSE), 1)</f>
        <v>2.3915821326437906E-7</v>
      </c>
      <c r="G3" s="7">
        <f>$B3 * IFERROR(VLOOKUP("LULUCF|SO2|Infant mortality", US_national_yearly!$D:$AM, 15, FALSE) / VLOOKUP("LULUCF|SO2|Infant mortality", US_national_yearly!$D:$AM, 10, FALSE), 1)</f>
        <v>1.5929863221460799E-7</v>
      </c>
      <c r="H3" s="7">
        <f>$B3 * IFERROR(VLOOKUP("LULUCF|SO2|Infant mortality", US_national_yearly!$D:$AM, 16, FALSE) / VLOOKUP("LULUCF|SO2|Infant mortality", US_national_yearly!$D:$AM, 10, FALSE), 1)</f>
        <v>7.9439051164837033E-8</v>
      </c>
      <c r="I3" s="7">
        <f>$B3 * IFERROR(VLOOKUP("LULUCF|SO2|Infant mortality", US_national_yearly!$D:$AM, 17, FALSE) / VLOOKUP("LULUCF|SO2|Infant mortality", US_national_yearly!$D:$AM, 10, FALSE), 1)</f>
        <v>7.8940706008346157E-8</v>
      </c>
      <c r="J3" s="7">
        <f>$B3 * IFERROR(VLOOKUP("LULUCF|SO2|Infant mortality", US_national_yearly!$D:$AM, 18, FALSE) / VLOOKUP("LULUCF|SO2|Infant mortality", US_national_yearly!$D:$AM, 10, FALSE), 1)</f>
        <v>7.8442360851855269E-8</v>
      </c>
      <c r="K3" s="7">
        <f>$B3 * IFERROR(VLOOKUP("LULUCF|SO2|Infant mortality", US_national_yearly!$D:$AM, 19, FALSE) / VLOOKUP("LULUCF|SO2|Infant mortality", US_national_yearly!$D:$AM, 10, FALSE), 1)</f>
        <v>7.7944015695364394E-8</v>
      </c>
      <c r="L3" s="7">
        <f>$B3 * IFERROR(VLOOKUP("LULUCF|SO2|Infant mortality", US_national_yearly!$D:$AM, 20, FALSE) / VLOOKUP("LULUCF|SO2|Infant mortality", US_national_yearly!$D:$AM, 10, FALSE), 1)</f>
        <v>7.7445670538873532E-8</v>
      </c>
      <c r="M3" s="7">
        <f>$B3 * IFERROR(VLOOKUP("LULUCF|SO2|Infant mortality", US_national_yearly!$D:$AM, 21, FALSE) / VLOOKUP("LULUCF|SO2|Infant mortality", US_national_yearly!$D:$AM, 10, FALSE), 1)</f>
        <v>7.6947325382382643E-8</v>
      </c>
      <c r="N3" s="7">
        <f>$B3 * IFERROR(VLOOKUP("LULUCF|SO2|Infant mortality", US_national_yearly!$D:$AM, 22, FALSE) / VLOOKUP("LULUCF|SO2|Infant mortality", US_national_yearly!$D:$AM, 10, FALSE), 1)</f>
        <v>7.6634517858595178E-8</v>
      </c>
      <c r="O3" s="7">
        <f>$B3 * IFERROR(VLOOKUP("LULUCF|SO2|Infant mortality", US_national_yearly!$D:$AM, 23, FALSE) / VLOOKUP("LULUCF|SO2|Infant mortality", US_national_yearly!$D:$AM, 10, FALSE), 1)</f>
        <v>7.6321710334807713E-8</v>
      </c>
      <c r="P3" s="7">
        <f>$B3 * IFERROR(VLOOKUP("LULUCF|SO2|Infant mortality", US_national_yearly!$D:$AM, 24, FALSE) / VLOOKUP("LULUCF|SO2|Infant mortality", US_national_yearly!$D:$AM, 10, FALSE), 1)</f>
        <v>7.6008902811020234E-8</v>
      </c>
      <c r="Q3" s="7">
        <f>$B3 * IFERROR(VLOOKUP("LULUCF|SO2|Infant mortality", US_national_yearly!$D:$AM, 25, FALSE) / VLOOKUP("LULUCF|SO2|Infant mortality", US_national_yearly!$D:$AM, 10, FALSE), 1)</f>
        <v>7.5696095287232769E-8</v>
      </c>
      <c r="R3" s="7">
        <f>$B3 * IFERROR(VLOOKUP("LULUCF|SO2|Infant mortality", US_national_yearly!$D:$AM, 26, FALSE) / VLOOKUP("LULUCF|SO2|Infant mortality", US_national_yearly!$D:$AM, 10, FALSE), 1)</f>
        <v>7.538328776344529E-8</v>
      </c>
      <c r="S3" s="7">
        <f>$B3 * IFERROR(VLOOKUP("LULUCF|SO2|Infant mortality", US_national_yearly!$D:$AM, 27, FALSE) / VLOOKUP("LULUCF|SO2|Infant mortality", US_national_yearly!$D:$AM, 10, FALSE), 1)</f>
        <v>7.4990538860687851E-8</v>
      </c>
      <c r="T3" s="7">
        <f>$B3 * IFERROR(VLOOKUP("LULUCF|SO2|Infant mortality", US_national_yearly!$D:$AM, 28, FALSE) / VLOOKUP("LULUCF|SO2|Infant mortality", US_national_yearly!$D:$AM, 10, FALSE), 1)</f>
        <v>7.4597789957930411E-8</v>
      </c>
      <c r="U3" s="7">
        <f>$B3 * IFERROR(VLOOKUP("LULUCF|SO2|Infant mortality", US_national_yearly!$D:$AM, 29, FALSE) / VLOOKUP("LULUCF|SO2|Infant mortality", US_national_yearly!$D:$AM, 10, FALSE), 1)</f>
        <v>7.4205041055172945E-8</v>
      </c>
      <c r="V3" s="7">
        <f>$B3 * IFERROR(VLOOKUP("LULUCF|SO2|Infant mortality", US_national_yearly!$D:$AM, 30, FALSE) / VLOOKUP("LULUCF|SO2|Infant mortality", US_national_yearly!$D:$AM, 10, FALSE), 1)</f>
        <v>7.3812292152415519E-8</v>
      </c>
      <c r="W3" s="7">
        <f>$B3 * IFERROR(VLOOKUP("LULUCF|SO2|Infant mortality", US_national_yearly!$D:$AM, 31, FALSE) / VLOOKUP("LULUCF|SO2|Infant mortality", US_national_yearly!$D:$AM, 10, FALSE), 1)</f>
        <v>7.3419543249658066E-8</v>
      </c>
      <c r="X3" s="7">
        <f>$B3 * IFERROR(VLOOKUP("LULUCF|SO2|Infant mortality", US_national_yearly!$D:$AM, 32, FALSE) / VLOOKUP("LULUCF|SO2|Infant mortality", US_national_yearly!$D:$AM, 10, FALSE), 1)</f>
        <v>7.2990147468326685E-8</v>
      </c>
      <c r="Y3" s="7">
        <f>$B3 * IFERROR(VLOOKUP("LULUCF|SO2|Infant mortality", US_national_yearly!$D:$AM, 33, FALSE) / VLOOKUP("LULUCF|SO2|Infant mortality", US_national_yearly!$D:$AM, 10, FALSE), 1)</f>
        <v>7.2560751686995264E-8</v>
      </c>
      <c r="Z3" s="7">
        <f>$B3 * IFERROR(VLOOKUP("LULUCF|SO2|Infant mortality", US_national_yearly!$D:$AM, 34, FALSE) / VLOOKUP("LULUCF|SO2|Infant mortality", US_national_yearly!$D:$AM, 10, FALSE), 1)</f>
        <v>7.213135590566387E-8</v>
      </c>
      <c r="AA3" s="7">
        <f>$B3 * IFERROR(VLOOKUP("LULUCF|SO2|Infant mortality", US_national_yearly!$D:$AM, 35, FALSE) / VLOOKUP("LULUCF|SO2|Infant mortality", US_national_yearly!$D:$AM, 10, FALSE), 1)</f>
        <v>7.1701960124332462E-8</v>
      </c>
      <c r="AB3" s="7">
        <f>$B3 * IFERROR(VLOOKUP("LULUCF|SO2|Infant mortality", US_national_yearly!$D:$AM, 36, FALSE) / VLOOKUP("LULUCF|SO2|Infant mortality", US_national_yearly!$D:$AM, 10, FALSE), 1)</f>
        <v>7.1272564343001068E-8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3.2253002555336321E-4</v>
      </c>
      <c r="C6" s="7">
        <f>$B6 * IFERROR(VLOOKUP("LULUCF|SO2|Asthma symptoms cough", US_national_yearly!$D:$AM, 11, FALSE) / VLOOKUP("LULUCF|SO2|Asthma symptoms cough", US_national_yearly!$D:$AM, 10, FALSE), 1)</f>
        <v>3.2253002555336321E-4</v>
      </c>
      <c r="D6" s="7">
        <f>$B6 * IFERROR(VLOOKUP("LULUCF|SO2|Asthma symptoms cough", US_national_yearly!$D:$AM, 12, FALSE) / VLOOKUP("LULUCF|SO2|Asthma symptoms cough", US_national_yearly!$D:$AM, 10, FALSE), 1)</f>
        <v>3.2253002555336321E-4</v>
      </c>
      <c r="E6" s="7">
        <f>$B6 * IFERROR(VLOOKUP("LULUCF|SO2|Asthma symptoms cough", US_national_yearly!$D:$AM, 13, FALSE) / VLOOKUP("LULUCF|SO2|Asthma symptoms cough", US_national_yearly!$D:$AM, 10, FALSE), 1)</f>
        <v>3.2253002555336321E-4</v>
      </c>
      <c r="F6" s="7">
        <f>$B6 * IFERROR(VLOOKUP("LULUCF|SO2|Asthma symptoms cough", US_national_yearly!$D:$AM, 14, FALSE) / VLOOKUP("LULUCF|SO2|Asthma symptoms cough", US_national_yearly!$D:$AM, 10, FALSE), 1)</f>
        <v>3.2253002555336321E-4</v>
      </c>
      <c r="G6" s="7">
        <f>$B6 * IFERROR(VLOOKUP("LULUCF|SO2|Asthma symptoms cough", US_national_yearly!$D:$AM, 15, FALSE) / VLOOKUP("LULUCF|SO2|Asthma symptoms cough", US_national_yearly!$D:$AM, 10, FALSE), 1)</f>
        <v>3.2253002555336321E-4</v>
      </c>
      <c r="H6" s="7">
        <f>$B6 * IFERROR(VLOOKUP("LULUCF|SO2|Asthma symptoms cough", US_national_yearly!$D:$AM, 16, FALSE) / VLOOKUP("LULUCF|SO2|Asthma symptoms cough", US_national_yearly!$D:$AM, 10, FALSE), 1)</f>
        <v>3.2253002555336321E-4</v>
      </c>
      <c r="I6" s="7">
        <f>$B6 * IFERROR(VLOOKUP("LULUCF|SO2|Asthma symptoms cough", US_national_yearly!$D:$AM, 17, FALSE) / VLOOKUP("LULUCF|SO2|Asthma symptoms cough", US_national_yearly!$D:$AM, 10, FALSE), 1)</f>
        <v>3.2253002555336321E-4</v>
      </c>
      <c r="J6" s="7">
        <f>$B6 * IFERROR(VLOOKUP("LULUCF|SO2|Asthma symptoms cough", US_national_yearly!$D:$AM, 18, FALSE) / VLOOKUP("LULUCF|SO2|Asthma symptoms cough", US_national_yearly!$D:$AM, 10, FALSE), 1)</f>
        <v>3.2253002555336321E-4</v>
      </c>
      <c r="K6" s="7">
        <f>$B6 * IFERROR(VLOOKUP("LULUCF|SO2|Asthma symptoms cough", US_national_yearly!$D:$AM, 19, FALSE) / VLOOKUP("LULUCF|SO2|Asthma symptoms cough", US_national_yearly!$D:$AM, 10, FALSE), 1)</f>
        <v>3.2253002555336321E-4</v>
      </c>
      <c r="L6" s="7">
        <f>$B6 * IFERROR(VLOOKUP("LULUCF|SO2|Asthma symptoms cough", US_national_yearly!$D:$AM, 20, FALSE) / VLOOKUP("LULUCF|SO2|Asthma symptoms cough", US_national_yearly!$D:$AM, 10, FALSE), 1)</f>
        <v>3.2253002555336321E-4</v>
      </c>
      <c r="M6" s="7">
        <f>$B6 * IFERROR(VLOOKUP("LULUCF|SO2|Asthma symptoms cough", US_national_yearly!$D:$AM, 21, FALSE) / VLOOKUP("LULUCF|SO2|Asthma symptoms cough", US_national_yearly!$D:$AM, 10, FALSE), 1)</f>
        <v>3.2253002555336321E-4</v>
      </c>
      <c r="N6" s="7">
        <f>$B6 * IFERROR(VLOOKUP("LULUCF|SO2|Asthma symptoms cough", US_national_yearly!$D:$AM, 22, FALSE) / VLOOKUP("LULUCF|SO2|Asthma symptoms cough", US_national_yearly!$D:$AM, 10, FALSE), 1)</f>
        <v>3.2253002555336321E-4</v>
      </c>
      <c r="O6" s="7">
        <f>$B6 * IFERROR(VLOOKUP("LULUCF|SO2|Asthma symptoms cough", US_national_yearly!$D:$AM, 23, FALSE) / VLOOKUP("LULUCF|SO2|Asthma symptoms cough", US_national_yearly!$D:$AM, 10, FALSE), 1)</f>
        <v>3.2253002555336321E-4</v>
      </c>
      <c r="P6" s="7">
        <f>$B6 * IFERROR(VLOOKUP("LULUCF|SO2|Asthma symptoms cough", US_national_yearly!$D:$AM, 24, FALSE) / VLOOKUP("LULUCF|SO2|Asthma symptoms cough", US_national_yearly!$D:$AM, 10, FALSE), 1)</f>
        <v>3.2253002555336321E-4</v>
      </c>
      <c r="Q6" s="7">
        <f>$B6 * IFERROR(VLOOKUP("LULUCF|SO2|Asthma symptoms cough", US_national_yearly!$D:$AM, 25, FALSE) / VLOOKUP("LULUCF|SO2|Asthma symptoms cough", US_national_yearly!$D:$AM, 10, FALSE), 1)</f>
        <v>3.2253002555336321E-4</v>
      </c>
      <c r="R6" s="7">
        <f>$B6 * IFERROR(VLOOKUP("LULUCF|SO2|Asthma symptoms cough", US_national_yearly!$D:$AM, 26, FALSE) / VLOOKUP("LULUCF|SO2|Asthma symptoms cough", US_national_yearly!$D:$AM, 10, FALSE), 1)</f>
        <v>3.2253002555336321E-4</v>
      </c>
      <c r="S6" s="7">
        <f>$B6 * IFERROR(VLOOKUP("LULUCF|SO2|Asthma symptoms cough", US_national_yearly!$D:$AM, 27, FALSE) / VLOOKUP("LULUCF|SO2|Asthma symptoms cough", US_national_yearly!$D:$AM, 10, FALSE), 1)</f>
        <v>3.2253002555336321E-4</v>
      </c>
      <c r="T6" s="7">
        <f>$B6 * IFERROR(VLOOKUP("LULUCF|SO2|Asthma symptoms cough", US_national_yearly!$D:$AM, 28, FALSE) / VLOOKUP("LULUCF|SO2|Asthma symptoms cough", US_national_yearly!$D:$AM, 10, FALSE), 1)</f>
        <v>3.2253002555336321E-4</v>
      </c>
      <c r="U6" s="7">
        <f>$B6 * IFERROR(VLOOKUP("LULUCF|SO2|Asthma symptoms cough", US_national_yearly!$D:$AM, 29, FALSE) / VLOOKUP("LULUCF|SO2|Asthma symptoms cough", US_national_yearly!$D:$AM, 10, FALSE), 1)</f>
        <v>3.2253002555336321E-4</v>
      </c>
      <c r="V6" s="7">
        <f>$B6 * IFERROR(VLOOKUP("LULUCF|SO2|Asthma symptoms cough", US_national_yearly!$D:$AM, 30, FALSE) / VLOOKUP("LULUCF|SO2|Asthma symptoms cough", US_national_yearly!$D:$AM, 10, FALSE), 1)</f>
        <v>3.2253002555336321E-4</v>
      </c>
      <c r="W6" s="7">
        <f>$B6 * IFERROR(VLOOKUP("LULUCF|SO2|Asthma symptoms cough", US_national_yearly!$D:$AM, 31, FALSE) / VLOOKUP("LULUCF|SO2|Asthma symptoms cough", US_national_yearly!$D:$AM, 10, FALSE), 1)</f>
        <v>3.2253002555336321E-4</v>
      </c>
      <c r="X6" s="7">
        <f>$B6 * IFERROR(VLOOKUP("LULUCF|SO2|Asthma symptoms cough", US_national_yearly!$D:$AM, 32, FALSE) / VLOOKUP("LULUCF|SO2|Asthma symptoms cough", US_national_yearly!$D:$AM, 10, FALSE), 1)</f>
        <v>3.2253002555336321E-4</v>
      </c>
      <c r="Y6" s="7">
        <f>$B6 * IFERROR(VLOOKUP("LULUCF|SO2|Asthma symptoms cough", US_national_yearly!$D:$AM, 33, FALSE) / VLOOKUP("LULUCF|SO2|Asthma symptoms cough", US_national_yearly!$D:$AM, 10, FALSE), 1)</f>
        <v>3.2253002555336321E-4</v>
      </c>
      <c r="Z6" s="7">
        <f>$B6 * IFERROR(VLOOKUP("LULUCF|SO2|Asthma symptoms cough", US_national_yearly!$D:$AM, 34, FALSE) / VLOOKUP("LULUCF|SO2|Asthma symptoms cough", US_national_yearly!$D:$AM, 10, FALSE), 1)</f>
        <v>3.2253002555336321E-4</v>
      </c>
      <c r="AA6" s="7">
        <f>$B6 * IFERROR(VLOOKUP("LULUCF|SO2|Asthma symptoms cough", US_national_yearly!$D:$AM, 35, FALSE) / VLOOKUP("LULUCF|SO2|Asthma symptoms cough", US_national_yearly!$D:$AM, 10, FALSE), 1)</f>
        <v>3.2253002555336321E-4</v>
      </c>
      <c r="AB6" s="7">
        <f>$B6 * IFERROR(VLOOKUP("LULUCF|SO2|Asthma symptoms cough", US_national_yearly!$D:$AM, 36, FALSE) / VLOOKUP("LULUCF|SO2|Asthma symptoms cough", US_national_yearly!$D:$AM, 10, FALSE), 1)</f>
        <v>3.2253002555336321E-4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4.3433291928949349E-4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4.3433291928949349E-4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4.3433291928949349E-4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4.3433291928949349E-4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4.3433291928949349E-4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4.3433291928949349E-4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4.3433291928949349E-4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4.3433291928949349E-4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4.3433291928949349E-4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4.3433291928949349E-4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4.3433291928949349E-4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4.3433291928949349E-4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4.3433291928949349E-4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4.3433291928949349E-4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4.3433291928949349E-4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4.3433291928949349E-4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4.3433291928949349E-4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4.3433291928949349E-4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4.3433291928949349E-4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4.3433291928949349E-4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4.3433291928949349E-4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4.3433291928949349E-4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4.3433291928949349E-4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4.3433291928949349E-4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4.3433291928949349E-4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4.3433291928949349E-4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4.3433291928949349E-4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6.6358909202215099E-4</v>
      </c>
      <c r="C8" s="7">
        <f>$B8 * IFERROR(VLOOKUP("LULUCF|SO2|Asthma symptoms wheeze", US_national_yearly!$D:$AM, 11, FALSE) / VLOOKUP("LULUCF|SO2|Asthma symptoms wheeze", US_national_yearly!$D:$AM, 10, FALSE), 1)</f>
        <v>6.6358909202215099E-4</v>
      </c>
      <c r="D8" s="7">
        <f>$B8 * IFERROR(VLOOKUP("LULUCF|SO2|Asthma symptoms wheeze", US_national_yearly!$D:$AM, 12, FALSE) / VLOOKUP("LULUCF|SO2|Asthma symptoms wheeze", US_national_yearly!$D:$AM, 10, FALSE), 1)</f>
        <v>6.6358909202215099E-4</v>
      </c>
      <c r="E8" s="7">
        <f>$B8 * IFERROR(VLOOKUP("LULUCF|SO2|Asthma symptoms wheeze", US_national_yearly!$D:$AM, 13, FALSE) / VLOOKUP("LULUCF|SO2|Asthma symptoms wheeze", US_national_yearly!$D:$AM, 10, FALSE), 1)</f>
        <v>6.6358909202215099E-4</v>
      </c>
      <c r="F8" s="7">
        <f>$B8 * IFERROR(VLOOKUP("LULUCF|SO2|Asthma symptoms wheeze", US_national_yearly!$D:$AM, 14, FALSE) / VLOOKUP("LULUCF|SO2|Asthma symptoms wheeze", US_national_yearly!$D:$AM, 10, FALSE), 1)</f>
        <v>6.6358909202215099E-4</v>
      </c>
      <c r="G8" s="7">
        <f>$B8 * IFERROR(VLOOKUP("LULUCF|SO2|Asthma symptoms wheeze", US_national_yearly!$D:$AM, 15, FALSE) / VLOOKUP("LULUCF|SO2|Asthma symptoms wheeze", US_national_yearly!$D:$AM, 10, FALSE), 1)</f>
        <v>6.6358909202215099E-4</v>
      </c>
      <c r="H8" s="7">
        <f>$B8 * IFERROR(VLOOKUP("LULUCF|SO2|Asthma symptoms wheeze", US_national_yearly!$D:$AM, 16, FALSE) / VLOOKUP("LULUCF|SO2|Asthma symptoms wheeze", US_national_yearly!$D:$AM, 10, FALSE), 1)</f>
        <v>6.6358909202215099E-4</v>
      </c>
      <c r="I8" s="7">
        <f>$B8 * IFERROR(VLOOKUP("LULUCF|SO2|Asthma symptoms wheeze", US_national_yearly!$D:$AM, 17, FALSE) / VLOOKUP("LULUCF|SO2|Asthma symptoms wheeze", US_national_yearly!$D:$AM, 10, FALSE), 1)</f>
        <v>6.6358909202215099E-4</v>
      </c>
      <c r="J8" s="7">
        <f>$B8 * IFERROR(VLOOKUP("LULUCF|SO2|Asthma symptoms wheeze", US_national_yearly!$D:$AM, 18, FALSE) / VLOOKUP("LULUCF|SO2|Asthma symptoms wheeze", US_national_yearly!$D:$AM, 10, FALSE), 1)</f>
        <v>6.6358909202215099E-4</v>
      </c>
      <c r="K8" s="7">
        <f>$B8 * IFERROR(VLOOKUP("LULUCF|SO2|Asthma symptoms wheeze", US_national_yearly!$D:$AM, 19, FALSE) / VLOOKUP("LULUCF|SO2|Asthma symptoms wheeze", US_national_yearly!$D:$AM, 10, FALSE), 1)</f>
        <v>6.6358909202215099E-4</v>
      </c>
      <c r="L8" s="7">
        <f>$B8 * IFERROR(VLOOKUP("LULUCF|SO2|Asthma symptoms wheeze", US_national_yearly!$D:$AM, 20, FALSE) / VLOOKUP("LULUCF|SO2|Asthma symptoms wheeze", US_national_yearly!$D:$AM, 10, FALSE), 1)</f>
        <v>6.6358909202215099E-4</v>
      </c>
      <c r="M8" s="7">
        <f>$B8 * IFERROR(VLOOKUP("LULUCF|SO2|Asthma symptoms wheeze", US_national_yearly!$D:$AM, 21, FALSE) / VLOOKUP("LULUCF|SO2|Asthma symptoms wheeze", US_national_yearly!$D:$AM, 10, FALSE), 1)</f>
        <v>6.6358909202215099E-4</v>
      </c>
      <c r="N8" s="7">
        <f>$B8 * IFERROR(VLOOKUP("LULUCF|SO2|Asthma symptoms wheeze", US_national_yearly!$D:$AM, 22, FALSE) / VLOOKUP("LULUCF|SO2|Asthma symptoms wheeze", US_national_yearly!$D:$AM, 10, FALSE), 1)</f>
        <v>6.6358909202215099E-4</v>
      </c>
      <c r="O8" s="7">
        <f>$B8 * IFERROR(VLOOKUP("LULUCF|SO2|Asthma symptoms wheeze", US_national_yearly!$D:$AM, 23, FALSE) / VLOOKUP("LULUCF|SO2|Asthma symptoms wheeze", US_national_yearly!$D:$AM, 10, FALSE), 1)</f>
        <v>6.6358909202215099E-4</v>
      </c>
      <c r="P8" s="7">
        <f>$B8 * IFERROR(VLOOKUP("LULUCF|SO2|Asthma symptoms wheeze", US_national_yearly!$D:$AM, 24, FALSE) / VLOOKUP("LULUCF|SO2|Asthma symptoms wheeze", US_national_yearly!$D:$AM, 10, FALSE), 1)</f>
        <v>6.6358909202215099E-4</v>
      </c>
      <c r="Q8" s="7">
        <f>$B8 * IFERROR(VLOOKUP("LULUCF|SO2|Asthma symptoms wheeze", US_national_yearly!$D:$AM, 25, FALSE) / VLOOKUP("LULUCF|SO2|Asthma symptoms wheeze", US_national_yearly!$D:$AM, 10, FALSE), 1)</f>
        <v>6.6358909202215099E-4</v>
      </c>
      <c r="R8" s="7">
        <f>$B8 * IFERROR(VLOOKUP("LULUCF|SO2|Asthma symptoms wheeze", US_national_yearly!$D:$AM, 26, FALSE) / VLOOKUP("LULUCF|SO2|Asthma symptoms wheeze", US_national_yearly!$D:$AM, 10, FALSE), 1)</f>
        <v>6.6358909202215099E-4</v>
      </c>
      <c r="S8" s="7">
        <f>$B8 * IFERROR(VLOOKUP("LULUCF|SO2|Asthma symptoms wheeze", US_national_yearly!$D:$AM, 27, FALSE) / VLOOKUP("LULUCF|SO2|Asthma symptoms wheeze", US_national_yearly!$D:$AM, 10, FALSE), 1)</f>
        <v>6.6358909202215099E-4</v>
      </c>
      <c r="T8" s="7">
        <f>$B8 * IFERROR(VLOOKUP("LULUCF|SO2|Asthma symptoms wheeze", US_national_yearly!$D:$AM, 28, FALSE) / VLOOKUP("LULUCF|SO2|Asthma symptoms wheeze", US_national_yearly!$D:$AM, 10, FALSE), 1)</f>
        <v>6.6358909202215099E-4</v>
      </c>
      <c r="U8" s="7">
        <f>$B8 * IFERROR(VLOOKUP("LULUCF|SO2|Asthma symptoms wheeze", US_national_yearly!$D:$AM, 29, FALSE) / VLOOKUP("LULUCF|SO2|Asthma symptoms wheeze", US_national_yearly!$D:$AM, 10, FALSE), 1)</f>
        <v>6.6358909202215099E-4</v>
      </c>
      <c r="V8" s="7">
        <f>$B8 * IFERROR(VLOOKUP("LULUCF|SO2|Asthma symptoms wheeze", US_national_yearly!$D:$AM, 30, FALSE) / VLOOKUP("LULUCF|SO2|Asthma symptoms wheeze", US_national_yearly!$D:$AM, 10, FALSE), 1)</f>
        <v>6.6358909202215099E-4</v>
      </c>
      <c r="W8" s="7">
        <f>$B8 * IFERROR(VLOOKUP("LULUCF|SO2|Asthma symptoms wheeze", US_national_yearly!$D:$AM, 31, FALSE) / VLOOKUP("LULUCF|SO2|Asthma symptoms wheeze", US_national_yearly!$D:$AM, 10, FALSE), 1)</f>
        <v>6.6358909202215099E-4</v>
      </c>
      <c r="X8" s="7">
        <f>$B8 * IFERROR(VLOOKUP("LULUCF|SO2|Asthma symptoms wheeze", US_national_yearly!$D:$AM, 32, FALSE) / VLOOKUP("LULUCF|SO2|Asthma symptoms wheeze", US_national_yearly!$D:$AM, 10, FALSE), 1)</f>
        <v>6.6358909202215099E-4</v>
      </c>
      <c r="Y8" s="7">
        <f>$B8 * IFERROR(VLOOKUP("LULUCF|SO2|Asthma symptoms wheeze", US_national_yearly!$D:$AM, 33, FALSE) / VLOOKUP("LULUCF|SO2|Asthma symptoms wheeze", US_national_yearly!$D:$AM, 10, FALSE), 1)</f>
        <v>6.6358909202215099E-4</v>
      </c>
      <c r="Z8" s="7">
        <f>$B8 * IFERROR(VLOOKUP("LULUCF|SO2|Asthma symptoms wheeze", US_national_yearly!$D:$AM, 34, FALSE) / VLOOKUP("LULUCF|SO2|Asthma symptoms wheeze", US_national_yearly!$D:$AM, 10, FALSE), 1)</f>
        <v>6.6358909202215099E-4</v>
      </c>
      <c r="AA8" s="7">
        <f>$B8 * IFERROR(VLOOKUP("LULUCF|SO2|Asthma symptoms wheeze", US_national_yearly!$D:$AM, 35, FALSE) / VLOOKUP("LULUCF|SO2|Asthma symptoms wheeze", US_national_yearly!$D:$AM, 10, FALSE), 1)</f>
        <v>6.6358909202215099E-4</v>
      </c>
      <c r="AB8" s="7">
        <f>$B8 * IFERROR(VLOOKUP("LULUCF|SO2|Asthma symptoms wheeze", US_national_yearly!$D:$AM, 36, FALSE) / VLOOKUP("LULUCF|SO2|Asthma symptoms wheeze", US_national_yearly!$D:$AM, 10, FALSE), 1)</f>
        <v>6.6358909202215099E-4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1.248548544619985E-5</v>
      </c>
      <c r="C12" s="7">
        <f>$B12 * IFERROR(VLOOKUP("LULUCF|SO2|Respiratory hospital admissions", US_national_yearly!$D:$AM, 11, FALSE) / VLOOKUP("LULUCF|SO2|Respiratory hospital admissions", US_national_yearly!$D:$AM, 10, FALSE), 1)</f>
        <v>1.255912545982648E-5</v>
      </c>
      <c r="D12" s="7">
        <f>$B12 * IFERROR(VLOOKUP("LULUCF|SO2|Respiratory hospital admissions", US_national_yearly!$D:$AM, 12, FALSE) / VLOOKUP("LULUCF|SO2|Respiratory hospital admissions", US_national_yearly!$D:$AM, 10, FALSE), 1)</f>
        <v>1.2632765473453113E-5</v>
      </c>
      <c r="E12" s="7">
        <f>$B12 * IFERROR(VLOOKUP("LULUCF|SO2|Respiratory hospital admissions", US_national_yearly!$D:$AM, 13, FALSE) / VLOOKUP("LULUCF|SO2|Respiratory hospital admissions", US_national_yearly!$D:$AM, 10, FALSE), 1)</f>
        <v>1.2706405487079743E-5</v>
      </c>
      <c r="F12" s="7">
        <f>$B12 * IFERROR(VLOOKUP("LULUCF|SO2|Respiratory hospital admissions", US_national_yearly!$D:$AM, 14, FALSE) / VLOOKUP("LULUCF|SO2|Respiratory hospital admissions", US_national_yearly!$D:$AM, 10, FALSE), 1)</f>
        <v>1.2780045500706374E-5</v>
      </c>
      <c r="G12" s="7">
        <f>$B12 * IFERROR(VLOOKUP("LULUCF|SO2|Respiratory hospital admissions", US_national_yearly!$D:$AM, 15, FALSE) / VLOOKUP("LULUCF|SO2|Respiratory hospital admissions", US_national_yearly!$D:$AM, 10, FALSE), 1)</f>
        <v>1.2860325536493751E-5</v>
      </c>
      <c r="H12" s="7">
        <f>$B12 * IFERROR(VLOOKUP("LULUCF|SO2|Respiratory hospital admissions", US_national_yearly!$D:$AM, 16, FALSE) / VLOOKUP("LULUCF|SO2|Respiratory hospital admissions", US_national_yearly!$D:$AM, 10, FALSE), 1)</f>
        <v>1.2940605572281129E-5</v>
      </c>
      <c r="I12" s="7">
        <f>$B12 * IFERROR(VLOOKUP("LULUCF|SO2|Respiratory hospital admissions", US_national_yearly!$D:$AM, 17, FALSE) / VLOOKUP("LULUCF|SO2|Respiratory hospital admissions", US_national_yearly!$D:$AM, 10, FALSE), 1)</f>
        <v>1.3019771246040141E-5</v>
      </c>
      <c r="J12" s="7">
        <f>$B12 * IFERROR(VLOOKUP("LULUCF|SO2|Respiratory hospital admissions", US_national_yearly!$D:$AM, 18, FALSE) / VLOOKUP("LULUCF|SO2|Respiratory hospital admissions", US_national_yearly!$D:$AM, 10, FALSE), 1)</f>
        <v>1.3098936919799155E-5</v>
      </c>
      <c r="K12" s="7">
        <f>$B12 * IFERROR(VLOOKUP("LULUCF|SO2|Respiratory hospital admissions", US_national_yearly!$D:$AM, 19, FALSE) / VLOOKUP("LULUCF|SO2|Respiratory hospital admissions", US_national_yearly!$D:$AM, 10, FALSE), 1)</f>
        <v>1.3178102593558164E-5</v>
      </c>
      <c r="L12" s="7">
        <f>$B12 * IFERROR(VLOOKUP("LULUCF|SO2|Respiratory hospital admissions", US_national_yearly!$D:$AM, 20, FALSE) / VLOOKUP("LULUCF|SO2|Respiratory hospital admissions", US_national_yearly!$D:$AM, 10, FALSE), 1)</f>
        <v>1.3257268267317178E-5</v>
      </c>
      <c r="M12" s="7">
        <f>$B12 * IFERROR(VLOOKUP("LULUCF|SO2|Respiratory hospital admissions", US_national_yearly!$D:$AM, 21, FALSE) / VLOOKUP("LULUCF|SO2|Respiratory hospital admissions", US_national_yearly!$D:$AM, 10, FALSE), 1)</f>
        <v>1.3336433941076186E-5</v>
      </c>
      <c r="N12" s="7">
        <f>$B12 * IFERROR(VLOOKUP("LULUCF|SO2|Respiratory hospital admissions", US_national_yearly!$D:$AM, 22, FALSE) / VLOOKUP("LULUCF|SO2|Respiratory hospital admissions", US_national_yearly!$D:$AM, 10, FALSE), 1)</f>
        <v>1.3394222439186934E-5</v>
      </c>
      <c r="O12" s="7">
        <f>$B12 * IFERROR(VLOOKUP("LULUCF|SO2|Respiratory hospital admissions", US_national_yearly!$D:$AM, 23, FALSE) / VLOOKUP("LULUCF|SO2|Respiratory hospital admissions", US_national_yearly!$D:$AM, 10, FALSE), 1)</f>
        <v>1.3452010937297677E-5</v>
      </c>
      <c r="P12" s="7">
        <f>$B12 * IFERROR(VLOOKUP("LULUCF|SO2|Respiratory hospital admissions", US_national_yearly!$D:$AM, 24, FALSE) / VLOOKUP("LULUCF|SO2|Respiratory hospital admissions", US_national_yearly!$D:$AM, 10, FALSE), 1)</f>
        <v>1.3509799435408423E-5</v>
      </c>
      <c r="Q12" s="7">
        <f>$B12 * IFERROR(VLOOKUP("LULUCF|SO2|Respiratory hospital admissions", US_national_yearly!$D:$AM, 25, FALSE) / VLOOKUP("LULUCF|SO2|Respiratory hospital admissions", US_national_yearly!$D:$AM, 10, FALSE), 1)</f>
        <v>1.356758793351917E-5</v>
      </c>
      <c r="R12" s="7">
        <f>$B12 * IFERROR(VLOOKUP("LULUCF|SO2|Respiratory hospital admissions", US_national_yearly!$D:$AM, 26, FALSE) / VLOOKUP("LULUCF|SO2|Respiratory hospital admissions", US_national_yearly!$D:$AM, 10, FALSE), 1)</f>
        <v>1.3625376431629914E-5</v>
      </c>
      <c r="S12" s="7">
        <f>$B12 * IFERROR(VLOOKUP("LULUCF|SO2|Respiratory hospital admissions", US_national_yearly!$D:$AM, 27, FALSE) / VLOOKUP("LULUCF|SO2|Respiratory hospital admissions", US_national_yearly!$D:$AM, 10, FALSE), 1)</f>
        <v>1.3680502249440736E-5</v>
      </c>
      <c r="T12" s="7">
        <f>$B12 * IFERROR(VLOOKUP("LULUCF|SO2|Respiratory hospital admissions", US_national_yearly!$D:$AM, 28, FALSE) / VLOOKUP("LULUCF|SO2|Respiratory hospital admissions", US_national_yearly!$D:$AM, 10, FALSE), 1)</f>
        <v>1.3735628067251556E-5</v>
      </c>
      <c r="U12" s="7">
        <f>$B12 * IFERROR(VLOOKUP("LULUCF|SO2|Respiratory hospital admissions", US_national_yearly!$D:$AM, 29, FALSE) / VLOOKUP("LULUCF|SO2|Respiratory hospital admissions", US_national_yearly!$D:$AM, 10, FALSE), 1)</f>
        <v>1.3790753885062377E-5</v>
      </c>
      <c r="V12" s="7">
        <f>$B12 * IFERROR(VLOOKUP("LULUCF|SO2|Respiratory hospital admissions", US_national_yearly!$D:$AM, 30, FALSE) / VLOOKUP("LULUCF|SO2|Respiratory hospital admissions", US_national_yearly!$D:$AM, 10, FALSE), 1)</f>
        <v>1.38458797028732E-5</v>
      </c>
      <c r="W12" s="7">
        <f>$B12 * IFERROR(VLOOKUP("LULUCF|SO2|Respiratory hospital admissions", US_national_yearly!$D:$AM, 31, FALSE) / VLOOKUP("LULUCF|SO2|Respiratory hospital admissions", US_national_yearly!$D:$AM, 10, FALSE), 1)</f>
        <v>1.3901005520684022E-5</v>
      </c>
      <c r="X12" s="7">
        <f>$B12 * IFERROR(VLOOKUP("LULUCF|SO2|Respiratory hospital admissions", US_national_yearly!$D:$AM, 32, FALSE) / VLOOKUP("LULUCF|SO2|Respiratory hospital admissions", US_national_yearly!$D:$AM, 10, FALSE), 1)</f>
        <v>1.3953310871202775E-5</v>
      </c>
      <c r="Y12" s="7">
        <f>$B12 * IFERROR(VLOOKUP("LULUCF|SO2|Respiratory hospital admissions", US_national_yearly!$D:$AM, 33, FALSE) / VLOOKUP("LULUCF|SO2|Respiratory hospital admissions", US_national_yearly!$D:$AM, 10, FALSE), 1)</f>
        <v>1.4005616221721527E-5</v>
      </c>
      <c r="Z12" s="7">
        <f>$B12 * IFERROR(VLOOKUP("LULUCF|SO2|Respiratory hospital admissions", US_national_yearly!$D:$AM, 34, FALSE) / VLOOKUP("LULUCF|SO2|Respiratory hospital admissions", US_national_yearly!$D:$AM, 10, FALSE), 1)</f>
        <v>1.4057921572240277E-5</v>
      </c>
      <c r="AA12" s="7">
        <f>$B12 * IFERROR(VLOOKUP("LULUCF|SO2|Respiratory hospital admissions", US_national_yearly!$D:$AM, 35, FALSE) / VLOOKUP("LULUCF|SO2|Respiratory hospital admissions", US_national_yearly!$D:$AM, 10, FALSE), 1)</f>
        <v>1.411022692275903E-5</v>
      </c>
      <c r="AB12" s="7">
        <f>$B12 * IFERROR(VLOOKUP("LULUCF|SO2|Respiratory hospital admissions", US_national_yearly!$D:$AM, 36, FALSE) / VLOOKUP("LULUCF|SO2|Respiratory hospital admissions", US_national_yearly!$D:$AM, 10, FALSE), 1)</f>
        <v>1.4162532273277785E-5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5.5196891160446365E-5</v>
      </c>
      <c r="C13" s="7">
        <f>$B13 * IFERROR(VLOOKUP("LULUCF|SO2|Non-fatal heart attacks", US_national_yearly!$D:$AM, 11, FALSE) / VLOOKUP("LULUCF|SO2|Non-fatal heart attacks", US_national_yearly!$D:$AM, 10, FALSE), 1)</f>
        <v>5.6817271398815566E-5</v>
      </c>
      <c r="D13" s="7">
        <f>$B13 * IFERROR(VLOOKUP("LULUCF|SO2|Non-fatal heart attacks", US_national_yearly!$D:$AM, 12, FALSE) / VLOOKUP("LULUCF|SO2|Non-fatal heart attacks", US_national_yearly!$D:$AM, 10, FALSE), 1)</f>
        <v>5.8437651637184774E-5</v>
      </c>
      <c r="E13" s="7">
        <f>$B13 * IFERROR(VLOOKUP("LULUCF|SO2|Non-fatal heart attacks", US_national_yearly!$D:$AM, 13, FALSE) / VLOOKUP("LULUCF|SO2|Non-fatal heart attacks", US_national_yearly!$D:$AM, 10, FALSE), 1)</f>
        <v>6.0058031875553974E-5</v>
      </c>
      <c r="F13" s="7">
        <f>$B13 * IFERROR(VLOOKUP("LULUCF|SO2|Non-fatal heart attacks", US_national_yearly!$D:$AM, 14, FALSE) / VLOOKUP("LULUCF|SO2|Non-fatal heart attacks", US_national_yearly!$D:$AM, 10, FALSE), 1)</f>
        <v>6.1678412113923162E-5</v>
      </c>
      <c r="G13" s="7">
        <f>$B13 * IFERROR(VLOOKUP("LULUCF|SO2|Non-fatal heart attacks", US_national_yearly!$D:$AM, 15, FALSE) / VLOOKUP("LULUCF|SO2|Non-fatal heart attacks", US_national_yearly!$D:$AM, 10, FALSE), 1)</f>
        <v>6.3206580978154207E-5</v>
      </c>
      <c r="H13" s="7">
        <f>$B13 * IFERROR(VLOOKUP("LULUCF|SO2|Non-fatal heart attacks", US_national_yearly!$D:$AM, 16, FALSE) / VLOOKUP("LULUCF|SO2|Non-fatal heart attacks", US_national_yearly!$D:$AM, 10, FALSE), 1)</f>
        <v>6.473474984238524E-5</v>
      </c>
      <c r="I13" s="7">
        <f>$B13 * IFERROR(VLOOKUP("LULUCF|SO2|Non-fatal heart attacks", US_national_yearly!$D:$AM, 17, FALSE) / VLOOKUP("LULUCF|SO2|Non-fatal heart attacks", US_national_yearly!$D:$AM, 10, FALSE), 1)</f>
        <v>6.5964446719308294E-5</v>
      </c>
      <c r="J13" s="7">
        <f>$B13 * IFERROR(VLOOKUP("LULUCF|SO2|Non-fatal heart attacks", US_national_yearly!$D:$AM, 18, FALSE) / VLOOKUP("LULUCF|SO2|Non-fatal heart attacks", US_national_yearly!$D:$AM, 10, FALSE), 1)</f>
        <v>6.7194143596231362E-5</v>
      </c>
      <c r="K13" s="7">
        <f>$B13 * IFERROR(VLOOKUP("LULUCF|SO2|Non-fatal heart attacks", US_national_yearly!$D:$AM, 19, FALSE) / VLOOKUP("LULUCF|SO2|Non-fatal heart attacks", US_national_yearly!$D:$AM, 10, FALSE), 1)</f>
        <v>6.8423840473154417E-5</v>
      </c>
      <c r="L13" s="7">
        <f>$B13 * IFERROR(VLOOKUP("LULUCF|SO2|Non-fatal heart attacks", US_national_yearly!$D:$AM, 20, FALSE) / VLOOKUP("LULUCF|SO2|Non-fatal heart attacks", US_national_yearly!$D:$AM, 10, FALSE), 1)</f>
        <v>6.9653537350077498E-5</v>
      </c>
      <c r="M13" s="7">
        <f>$B13 * IFERROR(VLOOKUP("LULUCF|SO2|Non-fatal heart attacks", US_national_yearly!$D:$AM, 21, FALSE) / VLOOKUP("LULUCF|SO2|Non-fatal heart attacks", US_national_yearly!$D:$AM, 10, FALSE), 1)</f>
        <v>7.088323422700058E-5</v>
      </c>
      <c r="N13" s="7">
        <f>$B13 * IFERROR(VLOOKUP("LULUCF|SO2|Non-fatal heart attacks", US_national_yearly!$D:$AM, 22, FALSE) / VLOOKUP("LULUCF|SO2|Non-fatal heart attacks", US_national_yearly!$D:$AM, 10, FALSE), 1)</f>
        <v>7.1681691265896094E-5</v>
      </c>
      <c r="O13" s="7">
        <f>$B13 * IFERROR(VLOOKUP("LULUCF|SO2|Non-fatal heart attacks", US_national_yearly!$D:$AM, 23, FALSE) / VLOOKUP("LULUCF|SO2|Non-fatal heart attacks", US_national_yearly!$D:$AM, 10, FALSE), 1)</f>
        <v>7.2480148304791635E-5</v>
      </c>
      <c r="P13" s="7">
        <f>$B13 * IFERROR(VLOOKUP("LULUCF|SO2|Non-fatal heart attacks", US_national_yearly!$D:$AM, 24, FALSE) / VLOOKUP("LULUCF|SO2|Non-fatal heart attacks", US_national_yearly!$D:$AM, 10, FALSE), 1)</f>
        <v>7.327860534368719E-5</v>
      </c>
      <c r="Q13" s="7">
        <f>$B13 * IFERROR(VLOOKUP("LULUCF|SO2|Non-fatal heart attacks", US_national_yearly!$D:$AM, 25, FALSE) / VLOOKUP("LULUCF|SO2|Non-fatal heart attacks", US_national_yearly!$D:$AM, 10, FALSE), 1)</f>
        <v>7.4077062382582717E-5</v>
      </c>
      <c r="R13" s="7">
        <f>$B13 * IFERROR(VLOOKUP("LULUCF|SO2|Non-fatal heart attacks", US_national_yearly!$D:$AM, 26, FALSE) / VLOOKUP("LULUCF|SO2|Non-fatal heart attacks", US_national_yearly!$D:$AM, 10, FALSE), 1)</f>
        <v>7.4875519421478245E-5</v>
      </c>
      <c r="S13" s="7">
        <f>$B13 * IFERROR(VLOOKUP("LULUCF|SO2|Non-fatal heart attacks", US_national_yearly!$D:$AM, 27, FALSE) / VLOOKUP("LULUCF|SO2|Non-fatal heart attacks", US_national_yearly!$D:$AM, 10, FALSE), 1)</f>
        <v>7.5292389350333207E-5</v>
      </c>
      <c r="T13" s="7">
        <f>$B13 * IFERROR(VLOOKUP("LULUCF|SO2|Non-fatal heart attacks", US_national_yearly!$D:$AM, 28, FALSE) / VLOOKUP("LULUCF|SO2|Non-fatal heart attacks", US_national_yearly!$D:$AM, 10, FALSE), 1)</f>
        <v>7.570925927918817E-5</v>
      </c>
      <c r="U13" s="7">
        <f>$B13 * IFERROR(VLOOKUP("LULUCF|SO2|Non-fatal heart attacks", US_national_yearly!$D:$AM, 29, FALSE) / VLOOKUP("LULUCF|SO2|Non-fatal heart attacks", US_national_yearly!$D:$AM, 10, FALSE), 1)</f>
        <v>7.6126129208043105E-5</v>
      </c>
      <c r="V13" s="7">
        <f>$B13 * IFERROR(VLOOKUP("LULUCF|SO2|Non-fatal heart attacks", US_national_yearly!$D:$AM, 30, FALSE) / VLOOKUP("LULUCF|SO2|Non-fatal heart attacks", US_national_yearly!$D:$AM, 10, FALSE), 1)</f>
        <v>7.6542999136898054E-5</v>
      </c>
      <c r="W13" s="7">
        <f>$B13 * IFERROR(VLOOKUP("LULUCF|SO2|Non-fatal heart attacks", US_national_yearly!$D:$AM, 31, FALSE) / VLOOKUP("LULUCF|SO2|Non-fatal heart attacks", US_national_yearly!$D:$AM, 10, FALSE), 1)</f>
        <v>7.6959869065753016E-5</v>
      </c>
      <c r="X13" s="7">
        <f>$B13 * IFERROR(VLOOKUP("LULUCF|SO2|Non-fatal heart attacks", US_national_yearly!$D:$AM, 32, FALSE) / VLOOKUP("LULUCF|SO2|Non-fatal heart attacks", US_national_yearly!$D:$AM, 10, FALSE), 1)</f>
        <v>7.7274569396820389E-5</v>
      </c>
      <c r="Y13" s="7">
        <f>$B13 * IFERROR(VLOOKUP("LULUCF|SO2|Non-fatal heart attacks", US_national_yearly!$D:$AM, 33, FALSE) / VLOOKUP("LULUCF|SO2|Non-fatal heart attacks", US_national_yearly!$D:$AM, 10, FALSE), 1)</f>
        <v>7.7589269727887763E-5</v>
      </c>
      <c r="Z13" s="7">
        <f>$B13 * IFERROR(VLOOKUP("LULUCF|SO2|Non-fatal heart attacks", US_national_yearly!$D:$AM, 34, FALSE) / VLOOKUP("LULUCF|SO2|Non-fatal heart attacks", US_national_yearly!$D:$AM, 10, FALSE), 1)</f>
        <v>7.7903970058955122E-5</v>
      </c>
      <c r="AA13" s="7">
        <f>$B13 * IFERROR(VLOOKUP("LULUCF|SO2|Non-fatal heart attacks", US_national_yearly!$D:$AM, 35, FALSE) / VLOOKUP("LULUCF|SO2|Non-fatal heart attacks", US_national_yearly!$D:$AM, 10, FALSE), 1)</f>
        <v>7.8218670390022495E-5</v>
      </c>
      <c r="AB13" s="7">
        <f>$B13 * IFERROR(VLOOKUP("LULUCF|SO2|Non-fatal heart attacks", US_national_yearly!$D:$AM, 36, FALSE) / VLOOKUP("LULUCF|SO2|Non-fatal heart attacks", US_national_yearly!$D:$AM, 10, FALSE), 1)</f>
        <v>7.8533370721089869E-5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3.7460981159006104E-2</v>
      </c>
      <c r="C14" s="7">
        <f>$B14 * IFERROR(VLOOKUP("LULUCF|SO2|Minor restricted activity days", US_national_yearly!$D:$AM, 11, FALSE) / VLOOKUP("LULUCF|SO2|Minor restricted activity days", US_national_yearly!$D:$AM, 10, FALSE), 1)</f>
        <v>3.7555407810796644E-2</v>
      </c>
      <c r="D14" s="7">
        <f>$B14 * IFERROR(VLOOKUP("LULUCF|SO2|Minor restricted activity days", US_national_yearly!$D:$AM, 12, FALSE) / VLOOKUP("LULUCF|SO2|Minor restricted activity days", US_national_yearly!$D:$AM, 10, FALSE), 1)</f>
        <v>3.7649834462587184E-2</v>
      </c>
      <c r="E14" s="7">
        <f>$B14 * IFERROR(VLOOKUP("LULUCF|SO2|Minor restricted activity days", US_national_yearly!$D:$AM, 13, FALSE) / VLOOKUP("LULUCF|SO2|Minor restricted activity days", US_national_yearly!$D:$AM, 10, FALSE), 1)</f>
        <v>3.7744261114377724E-2</v>
      </c>
      <c r="F14" s="7">
        <f>$B14 * IFERROR(VLOOKUP("LULUCF|SO2|Minor restricted activity days", US_national_yearly!$D:$AM, 14, FALSE) / VLOOKUP("LULUCF|SO2|Minor restricted activity days", US_national_yearly!$D:$AM, 10, FALSE), 1)</f>
        <v>3.7838687766168257E-2</v>
      </c>
      <c r="G14" s="7">
        <f>$B14 * IFERROR(VLOOKUP("LULUCF|SO2|Minor restricted activity days", US_national_yearly!$D:$AM, 15, FALSE) / VLOOKUP("LULUCF|SO2|Minor restricted activity days", US_national_yearly!$D:$AM, 10, FALSE), 1)</f>
        <v>3.7977674521077857E-2</v>
      </c>
      <c r="H14" s="7">
        <f>$B14 * IFERROR(VLOOKUP("LULUCF|SO2|Minor restricted activity days", US_national_yearly!$D:$AM, 16, FALSE) / VLOOKUP("LULUCF|SO2|Minor restricted activity days", US_national_yearly!$D:$AM, 10, FALSE), 1)</f>
        <v>3.8116661275987465E-2</v>
      </c>
      <c r="I14" s="7">
        <f>$B14 * IFERROR(VLOOKUP("LULUCF|SO2|Minor restricted activity days", US_national_yearly!$D:$AM, 17, FALSE) / VLOOKUP("LULUCF|SO2|Minor restricted activity days", US_national_yearly!$D:$AM, 10, FALSE), 1)</f>
        <v>3.8353690231402372E-2</v>
      </c>
      <c r="J14" s="7">
        <f>$B14 * IFERROR(VLOOKUP("LULUCF|SO2|Minor restricted activity days", US_national_yearly!$D:$AM, 18, FALSE) / VLOOKUP("LULUCF|SO2|Minor restricted activity days", US_national_yearly!$D:$AM, 10, FALSE), 1)</f>
        <v>3.8590719186817279E-2</v>
      </c>
      <c r="K14" s="7">
        <f>$B14 * IFERROR(VLOOKUP("LULUCF|SO2|Minor restricted activity days", US_national_yearly!$D:$AM, 19, FALSE) / VLOOKUP("LULUCF|SO2|Minor restricted activity days", US_national_yearly!$D:$AM, 10, FALSE), 1)</f>
        <v>3.8827748142232194E-2</v>
      </c>
      <c r="L14" s="7">
        <f>$B14 * IFERROR(VLOOKUP("LULUCF|SO2|Minor restricted activity days", US_national_yearly!$D:$AM, 20, FALSE) / VLOOKUP("LULUCF|SO2|Minor restricted activity days", US_national_yearly!$D:$AM, 10, FALSE), 1)</f>
        <v>3.9064777097647101E-2</v>
      </c>
      <c r="M14" s="7">
        <f>$B14 * IFERROR(VLOOKUP("LULUCF|SO2|Minor restricted activity days", US_national_yearly!$D:$AM, 21, FALSE) / VLOOKUP("LULUCF|SO2|Minor restricted activity days", US_national_yearly!$D:$AM, 10, FALSE), 1)</f>
        <v>3.9301806053062008E-2</v>
      </c>
      <c r="N14" s="7">
        <f>$B14 * IFERROR(VLOOKUP("LULUCF|SO2|Minor restricted activity days", US_national_yearly!$D:$AM, 22, FALSE) / VLOOKUP("LULUCF|SO2|Minor restricted activity days", US_national_yearly!$D:$AM, 10, FALSE), 1)</f>
        <v>3.9626023630645567E-2</v>
      </c>
      <c r="O14" s="7">
        <f>$B14 * IFERROR(VLOOKUP("LULUCF|SO2|Minor restricted activity days", US_national_yearly!$D:$AM, 23, FALSE) / VLOOKUP("LULUCF|SO2|Minor restricted activity days", US_national_yearly!$D:$AM, 10, FALSE), 1)</f>
        <v>3.9950241208229119E-2</v>
      </c>
      <c r="P14" s="7">
        <f>$B14 * IFERROR(VLOOKUP("LULUCF|SO2|Minor restricted activity days", US_national_yearly!$D:$AM, 24, FALSE) / VLOOKUP("LULUCF|SO2|Minor restricted activity days", US_national_yearly!$D:$AM, 10, FALSE), 1)</f>
        <v>4.0274458785812678E-2</v>
      </c>
      <c r="Q14" s="7">
        <f>$B14 * IFERROR(VLOOKUP("LULUCF|SO2|Minor restricted activity days", US_national_yearly!$D:$AM, 25, FALSE) / VLOOKUP("LULUCF|SO2|Minor restricted activity days", US_national_yearly!$D:$AM, 10, FALSE), 1)</f>
        <v>4.0598676363396237E-2</v>
      </c>
      <c r="R14" s="7">
        <f>$B14 * IFERROR(VLOOKUP("LULUCF|SO2|Minor restricted activity days", US_national_yearly!$D:$AM, 26, FALSE) / VLOOKUP("LULUCF|SO2|Minor restricted activity days", US_national_yearly!$D:$AM, 10, FALSE), 1)</f>
        <v>4.0922893940979796E-2</v>
      </c>
      <c r="S14" s="7">
        <f>$B14 * IFERROR(VLOOKUP("LULUCF|SO2|Minor restricted activity days", US_national_yearly!$D:$AM, 27, FALSE) / VLOOKUP("LULUCF|SO2|Minor restricted activity days", US_national_yearly!$D:$AM, 10, FALSE), 1)</f>
        <v>4.125346549377306E-2</v>
      </c>
      <c r="T14" s="7">
        <f>$B14 * IFERROR(VLOOKUP("LULUCF|SO2|Minor restricted activity days", US_national_yearly!$D:$AM, 28, FALSE) / VLOOKUP("LULUCF|SO2|Minor restricted activity days", US_national_yearly!$D:$AM, 10, FALSE), 1)</f>
        <v>4.1584037046566331E-2</v>
      </c>
      <c r="U14" s="7">
        <f>$B14 * IFERROR(VLOOKUP("LULUCF|SO2|Minor restricted activity days", US_national_yearly!$D:$AM, 29, FALSE) / VLOOKUP("LULUCF|SO2|Minor restricted activity days", US_national_yearly!$D:$AM, 10, FALSE), 1)</f>
        <v>4.1914608599359603E-2</v>
      </c>
      <c r="V14" s="7">
        <f>$B14 * IFERROR(VLOOKUP("LULUCF|SO2|Minor restricted activity days", US_national_yearly!$D:$AM, 30, FALSE) / VLOOKUP("LULUCF|SO2|Minor restricted activity days", US_national_yearly!$D:$AM, 10, FALSE), 1)</f>
        <v>4.2245180152152874E-2</v>
      </c>
      <c r="W14" s="7">
        <f>$B14 * IFERROR(VLOOKUP("LULUCF|SO2|Minor restricted activity days", US_national_yearly!$D:$AM, 31, FALSE) / VLOOKUP("LULUCF|SO2|Minor restricted activity days", US_national_yearly!$D:$AM, 10, FALSE), 1)</f>
        <v>4.2575751704946152E-2</v>
      </c>
      <c r="X14" s="7">
        <f>$B14 * IFERROR(VLOOKUP("LULUCF|SO2|Minor restricted activity days", US_national_yearly!$D:$AM, 32, FALSE) / VLOOKUP("LULUCF|SO2|Minor restricted activity days", US_national_yearly!$D:$AM, 10, FALSE), 1)</f>
        <v>4.286646304277205E-2</v>
      </c>
      <c r="Y14" s="7">
        <f>$B14 * IFERROR(VLOOKUP("LULUCF|SO2|Minor restricted activity days", US_national_yearly!$D:$AM, 33, FALSE) / VLOOKUP("LULUCF|SO2|Minor restricted activity days", US_national_yearly!$D:$AM, 10, FALSE), 1)</f>
        <v>4.3157174380597949E-2</v>
      </c>
      <c r="Z14" s="7">
        <f>$B14 * IFERROR(VLOOKUP("LULUCF|SO2|Minor restricted activity days", US_national_yearly!$D:$AM, 34, FALSE) / VLOOKUP("LULUCF|SO2|Minor restricted activity days", US_national_yearly!$D:$AM, 10, FALSE), 1)</f>
        <v>4.3447885718423854E-2</v>
      </c>
      <c r="AA14" s="7">
        <f>$B14 * IFERROR(VLOOKUP("LULUCF|SO2|Minor restricted activity days", US_national_yearly!$D:$AM, 35, FALSE) / VLOOKUP("LULUCF|SO2|Minor restricted activity days", US_national_yearly!$D:$AM, 10, FALSE), 1)</f>
        <v>4.3738597056249752E-2</v>
      </c>
      <c r="AB14" s="7">
        <f>$B14 * IFERROR(VLOOKUP("LULUCF|SO2|Minor restricted activity days", US_national_yearly!$D:$AM, 36, FALSE) / VLOOKUP("LULUCF|SO2|Minor restricted activity days", US_national_yearly!$D:$AM, 10, FALSE), 1)</f>
        <v>4.4029308394075664E-2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6.3203092335970034E-3</v>
      </c>
      <c r="C15" s="7">
        <f>$B15 * IFERROR(VLOOKUP("LULUCF|SO2|Work loss days", US_national_yearly!$D:$AM, 11, FALSE) / VLOOKUP("LULUCF|SO2|Work loss days", US_national_yearly!$D:$AM, 10, FALSE), 1)</f>
        <v>6.34078603098956E-3</v>
      </c>
      <c r="D15" s="7">
        <f>$B15 * IFERROR(VLOOKUP("LULUCF|SO2|Work loss days", US_national_yearly!$D:$AM, 12, FALSE) / VLOOKUP("LULUCF|SO2|Work loss days", US_national_yearly!$D:$AM, 10, FALSE), 1)</f>
        <v>6.3612628283821158E-3</v>
      </c>
      <c r="E15" s="7">
        <f>$B15 * IFERROR(VLOOKUP("LULUCF|SO2|Work loss days", US_national_yearly!$D:$AM, 13, FALSE) / VLOOKUP("LULUCF|SO2|Work loss days", US_national_yearly!$D:$AM, 10, FALSE), 1)</f>
        <v>6.3817396257746725E-3</v>
      </c>
      <c r="F15" s="7">
        <f>$B15 * IFERROR(VLOOKUP("LULUCF|SO2|Work loss days", US_national_yearly!$D:$AM, 14, FALSE) / VLOOKUP("LULUCF|SO2|Work loss days", US_national_yearly!$D:$AM, 10, FALSE), 1)</f>
        <v>6.4022164231672292E-3</v>
      </c>
      <c r="G15" s="7">
        <f>$B15 * IFERROR(VLOOKUP("LULUCF|SO2|Work loss days", US_national_yearly!$D:$AM, 15, FALSE) / VLOOKUP("LULUCF|SO2|Work loss days", US_national_yearly!$D:$AM, 10, FALSE), 1)</f>
        <v>6.4289718644569057E-3</v>
      </c>
      <c r="H15" s="7">
        <f>$B15 * IFERROR(VLOOKUP("LULUCF|SO2|Work loss days", US_national_yearly!$D:$AM, 16, FALSE) / VLOOKUP("LULUCF|SO2|Work loss days", US_national_yearly!$D:$AM, 10, FALSE), 1)</f>
        <v>6.4557273057465805E-3</v>
      </c>
      <c r="I15" s="7">
        <f>$B15 * IFERROR(VLOOKUP("LULUCF|SO2|Work loss days", US_national_yearly!$D:$AM, 17, FALSE) / VLOOKUP("LULUCF|SO2|Work loss days", US_national_yearly!$D:$AM, 10, FALSE), 1)</f>
        <v>6.4948669246945017E-3</v>
      </c>
      <c r="J15" s="7">
        <f>$B15 * IFERROR(VLOOKUP("LULUCF|SO2|Work loss days", US_national_yearly!$D:$AM, 18, FALSE) / VLOOKUP("LULUCF|SO2|Work loss days", US_national_yearly!$D:$AM, 10, FALSE), 1)</f>
        <v>6.5340065436424221E-3</v>
      </c>
      <c r="K15" s="7">
        <f>$B15 * IFERROR(VLOOKUP("LULUCF|SO2|Work loss days", US_national_yearly!$D:$AM, 19, FALSE) / VLOOKUP("LULUCF|SO2|Work loss days", US_national_yearly!$D:$AM, 10, FALSE), 1)</f>
        <v>6.5731461625903433E-3</v>
      </c>
      <c r="L15" s="7">
        <f>$B15 * IFERROR(VLOOKUP("LULUCF|SO2|Work loss days", US_national_yearly!$D:$AM, 20, FALSE) / VLOOKUP("LULUCF|SO2|Work loss days", US_national_yearly!$D:$AM, 10, FALSE), 1)</f>
        <v>6.6122857815382637E-3</v>
      </c>
      <c r="M15" s="7">
        <f>$B15 * IFERROR(VLOOKUP("LULUCF|SO2|Work loss days", US_national_yearly!$D:$AM, 21, FALSE) / VLOOKUP("LULUCF|SO2|Work loss days", US_national_yearly!$D:$AM, 10, FALSE), 1)</f>
        <v>6.6514254004861849E-3</v>
      </c>
      <c r="N15" s="7">
        <f>$B15 * IFERROR(VLOOKUP("LULUCF|SO2|Work loss days", US_national_yearly!$D:$AM, 22, FALSE) / VLOOKUP("LULUCF|SO2|Work loss days", US_national_yearly!$D:$AM, 10, FALSE), 1)</f>
        <v>6.7005001400489992E-3</v>
      </c>
      <c r="O15" s="7">
        <f>$B15 * IFERROR(VLOOKUP("LULUCF|SO2|Work loss days", US_national_yearly!$D:$AM, 23, FALSE) / VLOOKUP("LULUCF|SO2|Work loss days", US_national_yearly!$D:$AM, 10, FALSE), 1)</f>
        <v>6.7495748796118134E-3</v>
      </c>
      <c r="P15" s="7">
        <f>$B15 * IFERROR(VLOOKUP("LULUCF|SO2|Work loss days", US_national_yearly!$D:$AM, 24, FALSE) / VLOOKUP("LULUCF|SO2|Work loss days", US_national_yearly!$D:$AM, 10, FALSE), 1)</f>
        <v>6.7986496191746251E-3</v>
      </c>
      <c r="Q15" s="7">
        <f>$B15 * IFERROR(VLOOKUP("LULUCF|SO2|Work loss days", US_national_yearly!$D:$AM, 25, FALSE) / VLOOKUP("LULUCF|SO2|Work loss days", US_national_yearly!$D:$AM, 10, FALSE), 1)</f>
        <v>6.8477243587374394E-3</v>
      </c>
      <c r="R15" s="7">
        <f>$B15 * IFERROR(VLOOKUP("LULUCF|SO2|Work loss days", US_national_yearly!$D:$AM, 26, FALSE) / VLOOKUP("LULUCF|SO2|Work loss days", US_national_yearly!$D:$AM, 10, FALSE), 1)</f>
        <v>6.8967990983002537E-3</v>
      </c>
      <c r="S15" s="7">
        <f>$B15 * IFERROR(VLOOKUP("LULUCF|SO2|Work loss days", US_national_yearly!$D:$AM, 27, FALSE) / VLOOKUP("LULUCF|SO2|Work loss days", US_national_yearly!$D:$AM, 10, FALSE), 1)</f>
        <v>6.9516399579643475E-3</v>
      </c>
      <c r="T15" s="7">
        <f>$B15 * IFERROR(VLOOKUP("LULUCF|SO2|Work loss days", US_national_yearly!$D:$AM, 28, FALSE) / VLOOKUP("LULUCF|SO2|Work loss days", US_national_yearly!$D:$AM, 10, FALSE), 1)</f>
        <v>7.0064808176284431E-3</v>
      </c>
      <c r="U15" s="7">
        <f>$B15 * IFERROR(VLOOKUP("LULUCF|SO2|Work loss days", US_national_yearly!$D:$AM, 29, FALSE) / VLOOKUP("LULUCF|SO2|Work loss days", US_national_yearly!$D:$AM, 10, FALSE), 1)</f>
        <v>7.0613216772925378E-3</v>
      </c>
      <c r="V15" s="7">
        <f>$B15 * IFERROR(VLOOKUP("LULUCF|SO2|Work loss days", US_national_yearly!$D:$AM, 30, FALSE) / VLOOKUP("LULUCF|SO2|Work loss days", US_national_yearly!$D:$AM, 10, FALSE), 1)</f>
        <v>7.1161625369566325E-3</v>
      </c>
      <c r="W15" s="7">
        <f>$B15 * IFERROR(VLOOKUP("LULUCF|SO2|Work loss days", US_national_yearly!$D:$AM, 31, FALSE) / VLOOKUP("LULUCF|SO2|Work loss days", US_national_yearly!$D:$AM, 10, FALSE), 1)</f>
        <v>7.171003396620728E-3</v>
      </c>
      <c r="X15" s="7">
        <f>$B15 * IFERROR(VLOOKUP("LULUCF|SO2|Work loss days", US_national_yearly!$D:$AM, 32, FALSE) / VLOOKUP("LULUCF|SO2|Work loss days", US_national_yearly!$D:$AM, 10, FALSE), 1)</f>
        <v>7.2202429295206046E-3</v>
      </c>
      <c r="Y15" s="7">
        <f>$B15 * IFERROR(VLOOKUP("LULUCF|SO2|Work loss days", US_national_yearly!$D:$AM, 33, FALSE) / VLOOKUP("LULUCF|SO2|Work loss days", US_national_yearly!$D:$AM, 10, FALSE), 1)</f>
        <v>7.269482462420482E-3</v>
      </c>
      <c r="Z15" s="7">
        <f>$B15 * IFERROR(VLOOKUP("LULUCF|SO2|Work loss days", US_national_yearly!$D:$AM, 34, FALSE) / VLOOKUP("LULUCF|SO2|Work loss days", US_national_yearly!$D:$AM, 10, FALSE), 1)</f>
        <v>7.3187219953203602E-3</v>
      </c>
      <c r="AA15" s="7">
        <f>$B15 * IFERROR(VLOOKUP("LULUCF|SO2|Work loss days", US_national_yearly!$D:$AM, 35, FALSE) / VLOOKUP("LULUCF|SO2|Work loss days", US_national_yearly!$D:$AM, 10, FALSE), 1)</f>
        <v>7.3679615282202376E-3</v>
      </c>
      <c r="AB15" s="7">
        <f>$B15 * IFERROR(VLOOKUP("LULUCF|SO2|Work loss days", US_national_yearly!$D:$AM, 36, FALSE) / VLOOKUP("LULUCF|SO2|Work loss days", US_national_yearly!$D:$AM, 10, FALSE), 1)</f>
        <v>7.4172010611201159E-3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1.0531806091907286E-5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1.0850328238854101E-5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1.1168850385800916E-5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1.1487372532747733E-5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1.180589467969455E-5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1.2111008609747397E-5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1.2416122539800245E-5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1.2677545635391865E-5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1.2938968730983487E-5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1.3200391826575108E-5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1.3461814922166728E-5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1.3723238017758346E-5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1.3898854788488697E-5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1.4074471559219046E-5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1.4250088329949394E-5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1.4425705100679742E-5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1.4601321871410092E-5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1.4693683788888501E-5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1.4786045706366911E-5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1.4878407623845319E-5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1.4970769541323728E-5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1.5063131458802136E-5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1.5125137067257113E-5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1.5187142675712088E-5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1.5249148284167064E-5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1.5311153892622044E-5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1.5373159501077016E-5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2026-06-15T17:14:54Z</dcterms:modified>
</cp:coreProperties>
</file>