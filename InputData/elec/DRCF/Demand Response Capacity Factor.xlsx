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DRCF\"/>
    </mc:Choice>
  </mc:AlternateContent>
  <xr:revisionPtr revIDLastSave="0" documentId="13_ncr:1_{0EEE491A-A2B2-4566-AFC0-5CC1B079A2B6}" xr6:coauthVersionLast="47" xr6:coauthVersionMax="47" xr10:uidLastSave="{00000000-0000-0000-0000-000000000000}"/>
  <bookViews>
    <workbookView xWindow="2340" yWindow="2340" windowWidth="21600" windowHeight="12645" activeTab="3" xr2:uid="{00000000-000D-0000-FFFF-FFFF00000000}"/>
  </bookViews>
  <sheets>
    <sheet name="About" sheetId="1" r:id="rId1"/>
    <sheet name="Form 861" sheetId="2" r:id="rId2"/>
    <sheet name="Calculation" sheetId="3" r:id="rId3"/>
    <sheet name="DRC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1" i="3"/>
  <c r="B5" i="3" s="1"/>
  <c r="AH2" i="4" l="1"/>
  <c r="Z2" i="4"/>
  <c r="R2" i="4"/>
  <c r="J2" i="4"/>
  <c r="B2" i="4"/>
  <c r="V2" i="4"/>
  <c r="N2" i="4"/>
  <c r="F2" i="4"/>
  <c r="AC2" i="4"/>
  <c r="U2" i="4"/>
  <c r="M2" i="4"/>
  <c r="E2" i="4"/>
  <c r="T2" i="4"/>
  <c r="L2" i="4"/>
  <c r="D2" i="4"/>
  <c r="S2" i="4"/>
  <c r="K2" i="4"/>
  <c r="C2" i="4"/>
  <c r="AG2" i="4"/>
  <c r="Y2" i="4"/>
  <c r="Q2" i="4"/>
  <c r="I2" i="4"/>
  <c r="AF2" i="4"/>
  <c r="X2" i="4"/>
  <c r="P2" i="4"/>
  <c r="H2" i="4"/>
  <c r="AE2" i="4"/>
  <c r="W2" i="4"/>
  <c r="O2" i="4"/>
  <c r="G2" i="4"/>
  <c r="AD2" i="4"/>
  <c r="AB2" i="4"/>
  <c r="AA2" i="4"/>
</calcChain>
</file>

<file path=xl/sharedStrings.xml><?xml version="1.0" encoding="utf-8"?>
<sst xmlns="http://schemas.openxmlformats.org/spreadsheetml/2006/main" count="6767" uniqueCount="428">
  <si>
    <t>DRCF Demand Response Capacity Factor</t>
  </si>
  <si>
    <t>Iowa</t>
  </si>
  <si>
    <t>Sources:</t>
  </si>
  <si>
    <t>U.S. Energy Information Administration</t>
  </si>
  <si>
    <t>Form 861</t>
  </si>
  <si>
    <t>https://www.eia.gov/electricity/data/eia861/</t>
  </si>
  <si>
    <t>Demand_Response_2021.xlsx</t>
  </si>
  <si>
    <t>Notes:</t>
  </si>
  <si>
    <t xml:space="preserve">We calculate the capacity factor as the total MWh </t>
  </si>
  <si>
    <t>demand response generation divided by the MW</t>
  </si>
  <si>
    <t>peak demand savings times the number of hours</t>
  </si>
  <si>
    <t>per year.</t>
  </si>
  <si>
    <t>Utility Characteristics</t>
  </si>
  <si>
    <t>Yearly Energy and Demand Savings</t>
  </si>
  <si>
    <t>Program Costs</t>
  </si>
  <si>
    <t>DSM Program</t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</si>
  <si>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</si>
  <si>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</si>
  <si>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</si>
  <si>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</si>
  <si>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</si>
  <si>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</si>
  <si>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</si>
  <si>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</si>
  <si>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</si>
  <si>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</si>
  <si>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</si>
  <si>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BA Code</t>
  </si>
  <si>
    <t>Residential</t>
  </si>
  <si>
    <t>Commercial</t>
  </si>
  <si>
    <t>Industrial</t>
  </si>
  <si>
    <t>Transportation</t>
  </si>
  <si>
    <t>Total</t>
  </si>
  <si>
    <t>Water Heater</t>
  </si>
  <si>
    <t>Aiken Electric Coop Inc</t>
  </si>
  <si>
    <t>SC</t>
  </si>
  <si>
    <t>PowerSouth Energy Cooperative</t>
  </si>
  <si>
    <t>AL</t>
  </si>
  <si>
    <t>SOCO</t>
  </si>
  <si>
    <t>.</t>
  </si>
  <si>
    <t>Alabama Power Co</t>
  </si>
  <si>
    <t>Alameda Municipal Power</t>
  </si>
  <si>
    <t>CA</t>
  </si>
  <si>
    <t>CISO</t>
  </si>
  <si>
    <t>Alaska Electric Light &amp; Power Co.</t>
  </si>
  <si>
    <t>AK</t>
  </si>
  <si>
    <t>NA</t>
  </si>
  <si>
    <t>City of Alexandria - (MN)</t>
  </si>
  <si>
    <t>MN</t>
  </si>
  <si>
    <t>MISO</t>
  </si>
  <si>
    <t>Allegheny Electric Coop Inc</t>
  </si>
  <si>
    <t>PA</t>
  </si>
  <si>
    <t>PJM</t>
  </si>
  <si>
    <t>Altamaha Electric Member Corp</t>
  </si>
  <si>
    <t>GA</t>
  </si>
  <si>
    <t>City of Anaheim - (CA)</t>
  </si>
  <si>
    <t>Appalachian Power Co</t>
  </si>
  <si>
    <t>VA</t>
  </si>
  <si>
    <t>WV</t>
  </si>
  <si>
    <t>Arizona Public Service Co</t>
  </si>
  <si>
    <t>AZ</t>
  </si>
  <si>
    <t>AZPS</t>
  </si>
  <si>
    <t>Arkansas Electric Coop Corp</t>
  </si>
  <si>
    <t>AR</t>
  </si>
  <si>
    <t>Entergy Arkansas LLC</t>
  </si>
  <si>
    <t>City of Austin - (MN)</t>
  </si>
  <si>
    <t>Austin Energy</t>
  </si>
  <si>
    <t>TX</t>
  </si>
  <si>
    <t>ERCO</t>
  </si>
  <si>
    <t>Baltimore Gas &amp; Electric Co</t>
  </si>
  <si>
    <t>MD</t>
  </si>
  <si>
    <t>Barron Electric Coop</t>
  </si>
  <si>
    <t>WI</t>
  </si>
  <si>
    <t>Beltrami Electric Coop, Inc</t>
  </si>
  <si>
    <t>Berkeley Electric Coop Inc</t>
  </si>
  <si>
    <t>Black Hills Electric Coop, Inc</t>
  </si>
  <si>
    <t>SD</t>
  </si>
  <si>
    <t>SWPP</t>
  </si>
  <si>
    <t>Blue Ridge Elec Member Corp - (NC)</t>
  </si>
  <si>
    <t>NC</t>
  </si>
  <si>
    <t>DUK</t>
  </si>
  <si>
    <t>Broad River Electric Coop, Inc</t>
  </si>
  <si>
    <t>C &amp; L Electric Coop Corp</t>
  </si>
  <si>
    <t>Capital Electric Coop, Inc</t>
  </si>
  <si>
    <t>ND</t>
  </si>
  <si>
    <t>Duke Energy Progress - (NC)</t>
  </si>
  <si>
    <t>CPLE</t>
  </si>
  <si>
    <t>Carteret-Craven El Member Corp</t>
  </si>
  <si>
    <t>Cedar-Knox Public Power Dist</t>
  </si>
  <si>
    <t>NE</t>
  </si>
  <si>
    <t>Central Alabama Electric Coop</t>
  </si>
  <si>
    <t>Central Georgia El Member Corp</t>
  </si>
  <si>
    <t>Central Hudson Gas &amp; Elec Corp</t>
  </si>
  <si>
    <t>NY</t>
  </si>
  <si>
    <t>NYIS</t>
  </si>
  <si>
    <t>AEP Texas Central Company</t>
  </si>
  <si>
    <t>Central Power Elec Coop, Inc</t>
  </si>
  <si>
    <t>Choctawhatche Elec Coop, Inc</t>
  </si>
  <si>
    <t>FL</t>
  </si>
  <si>
    <t>Choptank Electric Cooperative, Inc</t>
  </si>
  <si>
    <t>Cleveland Electric Illum Co</t>
  </si>
  <si>
    <t>OH</t>
  </si>
  <si>
    <t>Clay Electric Cooperative, Inc</t>
  </si>
  <si>
    <t>SEC</t>
  </si>
  <si>
    <t>Coles-Moultrie Electric Coop</t>
  </si>
  <si>
    <t>IL</t>
  </si>
  <si>
    <t>City of Colorado Springs - (CO)</t>
  </si>
  <si>
    <t>CO</t>
  </si>
  <si>
    <t>PSCO</t>
  </si>
  <si>
    <t>City of Columbus - (OH)</t>
  </si>
  <si>
    <t>Commonwealth Edison Co</t>
  </si>
  <si>
    <t>Connecticut Light &amp; Power Co</t>
  </si>
  <si>
    <t>CT</t>
  </si>
  <si>
    <t>ISNE</t>
  </si>
  <si>
    <t>Consolidated Edison Co-NY Inc</t>
  </si>
  <si>
    <t>Consumers Energy Co</t>
  </si>
  <si>
    <t>MI</t>
  </si>
  <si>
    <t>Corn Belt Energy Corporation</t>
  </si>
  <si>
    <t>Corn Belt Power Coop</t>
  </si>
  <si>
    <t>IA</t>
  </si>
  <si>
    <t>Coweta-Fayette El Member Corp</t>
  </si>
  <si>
    <t>Craighead Electric Coop Corp</t>
  </si>
  <si>
    <t>Crisp County Power Comm</t>
  </si>
  <si>
    <t>Cuivre River Electric Coop Inc</t>
  </si>
  <si>
    <t>MO</t>
  </si>
  <si>
    <t>AECI</t>
  </si>
  <si>
    <t>Dawson Power District</t>
  </si>
  <si>
    <t>Delmarva Power</t>
  </si>
  <si>
    <t>DE</t>
  </si>
  <si>
    <t>Delaware Electric Cooperative</t>
  </si>
  <si>
    <t>Denton County Elec Coop, Inc</t>
  </si>
  <si>
    <t>DTE Electric Company</t>
  </si>
  <si>
    <t>Dixie Electric Membership Corp</t>
  </si>
  <si>
    <t>LA</t>
  </si>
  <si>
    <t>City of Dover - (DE)</t>
  </si>
  <si>
    <t>City of Dover - (OH)</t>
  </si>
  <si>
    <t>Duke Energy Carolinas, LLC</t>
  </si>
  <si>
    <t>Dunn County Electric Coop</t>
  </si>
  <si>
    <t>Town of Danvers</t>
  </si>
  <si>
    <t>MA</t>
  </si>
  <si>
    <t>East River Elec Pwr Coop, Inc</t>
  </si>
  <si>
    <t>East Kentucky Power Coop, Inc</t>
  </si>
  <si>
    <t>KY</t>
  </si>
  <si>
    <t>El Paso Electric Co</t>
  </si>
  <si>
    <t>NM</t>
  </si>
  <si>
    <t>EPE</t>
  </si>
  <si>
    <t>City of Elk River</t>
  </si>
  <si>
    <t>Elkhorn Rural Public Pwr Dist</t>
  </si>
  <si>
    <t>Empire District Electric Co</t>
  </si>
  <si>
    <t>Energy Coop of New York, Inc</t>
  </si>
  <si>
    <t>Excelsior Electric Member Corp</t>
  </si>
  <si>
    <t>Farmers Electric Coop, Inc - (MO)</t>
  </si>
  <si>
    <t>Farmers Electric Coop, Inc - (TX)</t>
  </si>
  <si>
    <t>First Electric Coop Corp</t>
  </si>
  <si>
    <t>Flathead Electric Coop Inc</t>
  </si>
  <si>
    <t>MT</t>
  </si>
  <si>
    <t>BPAT</t>
  </si>
  <si>
    <t>Flint Electric Membership Corp</t>
  </si>
  <si>
    <t>Florida Power &amp; Light Co</t>
  </si>
  <si>
    <t>FPL</t>
  </si>
  <si>
    <t>Duke Energy Florida, LLC</t>
  </si>
  <si>
    <t>FPC</t>
  </si>
  <si>
    <t>City of Fort Collins - (CO)</t>
  </si>
  <si>
    <t>Easley Combined Utility System</t>
  </si>
  <si>
    <t>Freeborn Mower Electric Cooperative</t>
  </si>
  <si>
    <t>Buckeye Power, Inc</t>
  </si>
  <si>
    <t>GreyStone Power Corporation</t>
  </si>
  <si>
    <t>Georgia Power Co</t>
  </si>
  <si>
    <t>Golden Spread Electric Cooperative, Inc</t>
  </si>
  <si>
    <t>OK</t>
  </si>
  <si>
    <t>Great River Energy</t>
  </si>
  <si>
    <t>Green Mountain Power Corp</t>
  </si>
  <si>
    <t>VT</t>
  </si>
  <si>
    <t>City of Greenville - (TX)</t>
  </si>
  <si>
    <t>Guadalupe Valley Elec Coop Inc</t>
  </si>
  <si>
    <t>Gulf Coast Electric Coop, Inc</t>
  </si>
  <si>
    <t>Gulf Power Co</t>
  </si>
  <si>
    <t>City of Hamilton - (OH)</t>
  </si>
  <si>
    <t>Harrison County Rural E M C</t>
  </si>
  <si>
    <t>IN</t>
  </si>
  <si>
    <t>Hart Electric Member Corp</t>
  </si>
  <si>
    <t>Hawaii Electric Light Co Inc</t>
  </si>
  <si>
    <t>HI</t>
  </si>
  <si>
    <t>Heartland Power Coop</t>
  </si>
  <si>
    <t>Haywood Electric Member Corp</t>
  </si>
  <si>
    <t>Highline Electric Assn</t>
  </si>
  <si>
    <t>WACM</t>
  </si>
  <si>
    <t>Holy Cross Electric Assn, Inc</t>
  </si>
  <si>
    <t>Horry Electric Coop Inc</t>
  </si>
  <si>
    <t>CenterPoint Energy</t>
  </si>
  <si>
    <t>Idaho Power Co</t>
  </si>
  <si>
    <t>ID</t>
  </si>
  <si>
    <t>IPCO</t>
  </si>
  <si>
    <t>OR</t>
  </si>
  <si>
    <t>Hoosier Energy R E C, Inc</t>
  </si>
  <si>
    <t>Indianapolis Power &amp; Light Co</t>
  </si>
  <si>
    <t>Illinois Municipal Elec Agency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</si>
  <si>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</si>
  <si>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</si>
  <si>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</si>
  <si>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</si>
  <si>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</si>
  <si>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</si>
  <si>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</si>
  <si>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Jo-Carroll Energy, Inc</t>
  </si>
  <si>
    <t>Johnson County Rural E M C</t>
  </si>
  <si>
    <t>Evergy Metro</t>
  </si>
  <si>
    <t>KS</t>
  </si>
  <si>
    <t>Evergy Kansas South, Inc</t>
  </si>
  <si>
    <t>Kentucky Utilities Co</t>
  </si>
  <si>
    <t>LGEE</t>
  </si>
  <si>
    <t>La Plata Electric Assn, Inc</t>
  </si>
  <si>
    <t>City of Lake Crystal - (MN)</t>
  </si>
  <si>
    <t>Laurens Electric Coop, Inc</t>
  </si>
  <si>
    <t>Lee County Electric Coop, Inc</t>
  </si>
  <si>
    <t>Lincoln Electric System</t>
  </si>
  <si>
    <t>Long Island Power Authority</t>
  </si>
  <si>
    <t>Los Angeles Department of Water &amp; Power</t>
  </si>
  <si>
    <t>LDWP</t>
  </si>
  <si>
    <t>Entergy Louisiana LLC</t>
  </si>
  <si>
    <t>Louisville Gas &amp; Electric Co</t>
  </si>
  <si>
    <t>Loup River Public Power Dist</t>
  </si>
  <si>
    <t>Lower Valley Energy Inc</t>
  </si>
  <si>
    <t>WY</t>
  </si>
  <si>
    <t>Lumbee River Elec Member Corp</t>
  </si>
  <si>
    <t>City of Madison - (SD)</t>
  </si>
  <si>
    <t>Magic Valley Electric Coop Inc</t>
  </si>
  <si>
    <t>City of Manassas - (VA)</t>
  </si>
  <si>
    <t>City of Marshall - (MN)</t>
  </si>
  <si>
    <t>Town of Massena - (NY)</t>
  </si>
  <si>
    <t>Maui Electric Co Ltd</t>
  </si>
  <si>
    <t>Montana-Dakota Utilities Co</t>
  </si>
  <si>
    <t>City of McPherson - (KS)</t>
  </si>
  <si>
    <t>Mecklenburg Electric Cooperative</t>
  </si>
  <si>
    <t>Medina Electric Coop, Inc</t>
  </si>
  <si>
    <t>Nodak Electric Coop Inc</t>
  </si>
  <si>
    <t>MidAmerican Energy Co</t>
  </si>
  <si>
    <t>Midwest Energy Cooperative</t>
  </si>
  <si>
    <t>Menard Electric Coop</t>
  </si>
  <si>
    <t>Midwest Electric Member Corp</t>
  </si>
  <si>
    <t>ALLETE, Inc.</t>
  </si>
  <si>
    <t>Mississippi County Electric Co</t>
  </si>
  <si>
    <t>Entergy Mississippi LLC</t>
  </si>
  <si>
    <t>MS</t>
  </si>
  <si>
    <t>Mississippi Power Co</t>
  </si>
  <si>
    <t>Evergy Missouri West</t>
  </si>
  <si>
    <t>Modesto Irrigation District</t>
  </si>
  <si>
    <t>BANC</t>
  </si>
  <si>
    <t>City of Moorhead - (MN)</t>
  </si>
  <si>
    <t>City of Naperville - (IL)</t>
  </si>
  <si>
    <t>Nebraska Public Power District</t>
  </si>
  <si>
    <t>Nevada Power Co</t>
  </si>
  <si>
    <t>NV</t>
  </si>
  <si>
    <t>NEVP</t>
  </si>
  <si>
    <t>New Hampshire Elec Coop Inc</t>
  </si>
  <si>
    <t>NH</t>
  </si>
  <si>
    <t>Entergy New Orleans, LLC</t>
  </si>
  <si>
    <t>New Smyrna Beach City of</t>
  </si>
  <si>
    <t>New York State Elec &amp; Gas Corp</t>
  </si>
  <si>
    <t>City of Newark - (DE)</t>
  </si>
  <si>
    <t>Newberry Electric Coop, Inc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</si>
  <si>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</si>
  <si>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</si>
  <si>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</si>
  <si>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</si>
  <si>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</si>
  <si>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</si>
  <si>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</si>
  <si>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</si>
  <si>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</si>
  <si>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</si>
  <si>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</si>
  <si>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</si>
  <si>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City of Norwood - (MA)</t>
  </si>
  <si>
    <t>Oakdale Electric Coop</t>
  </si>
  <si>
    <t>Ohio Edison Co</t>
  </si>
  <si>
    <t>Oklahoma Gas &amp; Electric Co</t>
  </si>
  <si>
    <t>Omaha Public Power District</t>
  </si>
  <si>
    <t>Orange &amp; Rockland Utils Inc</t>
  </si>
  <si>
    <t>Tri-County Electric Coop, Inc (SC)</t>
  </si>
  <si>
    <t>Otter Tail Power Co</t>
  </si>
  <si>
    <t>City of Owatonna - (MN)</t>
  </si>
  <si>
    <t>Pacific Gas &amp; Electric Co.</t>
  </si>
  <si>
    <t>PacifiCorp</t>
  </si>
  <si>
    <t>PACE</t>
  </si>
  <si>
    <t>PACW</t>
  </si>
  <si>
    <t>UT</t>
  </si>
  <si>
    <t>Palmetto Electric Coop Inc</t>
  </si>
  <si>
    <t>People's Cooperative Services</t>
  </si>
  <si>
    <t>PPL Electric Utilities Corp</t>
  </si>
  <si>
    <t>Pee Dee Electric Member Corp</t>
  </si>
  <si>
    <t>Piedmont Electric Member Corp</t>
  </si>
  <si>
    <t>Portland General Electric Co</t>
  </si>
  <si>
    <t>PGE</t>
  </si>
  <si>
    <t>Potomac Electric Power Co</t>
  </si>
  <si>
    <t>DC</t>
  </si>
  <si>
    <t>Polk-Burnett Electric Coop</t>
  </si>
  <si>
    <t>Public Service Co of Colorado</t>
  </si>
  <si>
    <t>Duke Energy Indiana, LLC</t>
  </si>
  <si>
    <t>Public Service Co of NH</t>
  </si>
  <si>
    <t>Public Service Co of NM</t>
  </si>
  <si>
    <t>PNM</t>
  </si>
  <si>
    <t>Public Service Co of Oklahoma</t>
  </si>
  <si>
    <t>Randolph Electric Member Corp</t>
  </si>
  <si>
    <t>Rayle Electric Membership Corp</t>
  </si>
  <si>
    <t>Town of Reading - (MA)</t>
  </si>
  <si>
    <t>Riverland Energy Cooperative</t>
  </si>
  <si>
    <t>Roanoke Electric Member Corp</t>
  </si>
  <si>
    <t>Rochester Public Utilities</t>
  </si>
  <si>
    <t>Rochester Gas &amp; Electric Corp</t>
  </si>
  <si>
    <t>City of Rock Hill - (SC)</t>
  </si>
  <si>
    <t>City of Roseville - (CA)</t>
  </si>
  <si>
    <t>Rutherford Elec Member Corp</t>
  </si>
  <si>
    <t>Sacramento Municipal Util Dist</t>
  </si>
  <si>
    <t>Salt River Project</t>
  </si>
  <si>
    <t>SRP</t>
  </si>
  <si>
    <t>City of San Antonio - (TX)</t>
  </si>
  <si>
    <t>Santee Electric Coop, Inc</t>
  </si>
  <si>
    <t>San Diego Gas &amp; Electric Co</t>
  </si>
  <si>
    <t>San Patricio Electric Coop Inc</t>
  </si>
  <si>
    <t>Satilla Rural Elec Member Corporation</t>
  </si>
  <si>
    <t>Scenic Rivers Energy Coop</t>
  </si>
  <si>
    <t>SEMO Electric Cooperative</t>
  </si>
  <si>
    <t>Sawnee Electric Membership Corporation</t>
  </si>
  <si>
    <t>Shakopee Public Utilities Comm</t>
  </si>
  <si>
    <t>Shelby Electric Coop, Inc</t>
  </si>
  <si>
    <t>Shenandoah Valley Elec Coop</t>
  </si>
  <si>
    <t>Sierra Pacific Power Co</t>
  </si>
  <si>
    <t>Sioux Valley SW Elec Coop</t>
  </si>
  <si>
    <t>PUD 1 of Snohomish County</t>
  </si>
  <si>
    <t>WA</t>
  </si>
  <si>
    <t>Dominion Energy South Carolina, Inc</t>
  </si>
  <si>
    <t>SCEG</t>
  </si>
  <si>
    <t>South Carolina Public Service Authority</t>
  </si>
  <si>
    <t>South River Elec Member Corp</t>
  </si>
  <si>
    <t>Southeastern Indiana R E M C</t>
  </si>
  <si>
    <t>Southern California Edison Co</t>
  </si>
  <si>
    <t>Southern Indiana Gas &amp; Elec Co</t>
  </si>
  <si>
    <t>Southern Maryland Elec Coop Inc</t>
  </si>
  <si>
    <t>Southwest Louisiana E M C</t>
  </si>
  <si>
    <t>Southwest Public Power Dist</t>
  </si>
  <si>
    <t>Southwestern Electric Power Co</t>
  </si>
  <si>
    <t>Southwestern Public Service Co</t>
  </si>
  <si>
    <t>Snapping Shoals El Member Corp</t>
  </si>
  <si>
    <t>Town of Sterling - (MA)</t>
  </si>
  <si>
    <t>Stillwater Utilities Authority</t>
  </si>
  <si>
    <t>Tallapoosa River Elec Coop Inc</t>
  </si>
  <si>
    <t>Sulphur Springs Valley E C Inc</t>
  </si>
  <si>
    <t>WALC</t>
  </si>
  <si>
    <t>Sumter Electric Coop, Inc</t>
  </si>
  <si>
    <t>City of Tallahassee - (FL)</t>
  </si>
  <si>
    <t>TAL</t>
  </si>
  <si>
    <t>Tampa Electric Co</t>
  </si>
  <si>
    <t>TEC</t>
  </si>
  <si>
    <t>City of Taunton</t>
  </si>
  <si>
    <t>Tennessee Valley Authority</t>
  </si>
  <si>
    <t>TVA</t>
  </si>
  <si>
    <t>TN</t>
  </si>
  <si>
    <t>The Toledo Edison Co</t>
  </si>
  <si>
    <t>TriEagle Energy, L.P.</t>
  </si>
  <si>
    <t>MiEnergy Cooperative</t>
  </si>
  <si>
    <t>Tri-County Electric Coop, Inc (OK)</t>
  </si>
  <si>
    <t>Trico Electric Cooperative Inc</t>
  </si>
  <si>
    <t>Tri-County Electric Coop (MI)</t>
  </si>
  <si>
    <t>Union Electric Co - (MO)</t>
  </si>
  <si>
    <t>Duke Energy Kentucky</t>
  </si>
  <si>
    <t>United Electric Coop Service Inc - (TX)</t>
  </si>
  <si>
    <t>United Power, Inc</t>
  </si>
  <si>
    <t>Hawaiian Electric Co Inc</t>
  </si>
  <si>
    <t>HECO</t>
  </si>
  <si>
    <t>UNS Electric, Inc</t>
  </si>
  <si>
    <t>TEPC</t>
  </si>
  <si>
    <t>Verendrye Electric Coop Inc</t>
  </si>
  <si>
    <t>City of Vernon</t>
  </si>
  <si>
    <t>Virginia Electric &amp; Power Co</t>
  </si>
  <si>
    <t>City of Volga - (SD)</t>
  </si>
  <si>
    <t>City of Wadsworth - (OH)</t>
  </si>
  <si>
    <t>Wake Electric Membership Corp</t>
  </si>
  <si>
    <t>West River Electric Assn Inc</t>
  </si>
  <si>
    <t>AEP Texas North Company</t>
  </si>
  <si>
    <t>Wharton County Elec Coop, Inc</t>
  </si>
  <si>
    <t>City of Westerville - (OH)</t>
  </si>
  <si>
    <t>Wheeling Power Co</t>
  </si>
  <si>
    <t>Northeastern Rural E M C</t>
  </si>
  <si>
    <t>Wild Rice Electric Coop, Inc</t>
  </si>
  <si>
    <t>Willmar Municipal Utilities</t>
  </si>
  <si>
    <t>Wiregrass Electric Coop, Inc</t>
  </si>
  <si>
    <t>Wisconsin Electric Power Co</t>
  </si>
  <si>
    <t>Wisconsin Power &amp; Light Co</t>
  </si>
  <si>
    <t>Woodruff Electric Coop Corp</t>
  </si>
  <si>
    <t>York Electric Coop Inc</t>
  </si>
  <si>
    <t>City of Worthington - (MN)</t>
  </si>
  <si>
    <t>Perennial Public Power Dist</t>
  </si>
  <si>
    <t>Southside Electric Coop, Inc</t>
  </si>
  <si>
    <t>Seminole Electric Cooperative Inc</t>
  </si>
  <si>
    <t>EnergyUnited Elec Member Corp</t>
  </si>
  <si>
    <t>Kentucky Power Co</t>
  </si>
  <si>
    <t>Evergy Kansas Central, Inc</t>
  </si>
  <si>
    <t>Tucson Electric Power Co</t>
  </si>
  <si>
    <t>Cass County Elec Coop Inc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</si>
  <si>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</si>
  <si>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</si>
  <si>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</si>
  <si>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</si>
  <si>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</si>
  <si>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Oncor Electric Delivery Company LLC</t>
  </si>
  <si>
    <t>NSTAR Electric Company</t>
  </si>
  <si>
    <t>City of Moreno Valley - (CA)</t>
  </si>
  <si>
    <t>Entergy Texas Inc.</t>
  </si>
  <si>
    <t>Cape Light Compact</t>
  </si>
  <si>
    <t>CKenergy Electric Cooperative</t>
  </si>
  <si>
    <t>Upper Michigan Energy Resources Corp.</t>
  </si>
  <si>
    <t>TXU Energy Retail Co, LLC</t>
  </si>
  <si>
    <t>Victory Electric Coop Assn Inc</t>
  </si>
  <si>
    <t>West Penn Power Company</t>
  </si>
  <si>
    <t>AEC</t>
  </si>
  <si>
    <t>WPPI Energy</t>
  </si>
  <si>
    <t>Wisconsin Public Service Corp</t>
  </si>
  <si>
    <t>Withlacoochee River Elec Coop</t>
  </si>
  <si>
    <t>Western Indiana Energy REMC</t>
  </si>
  <si>
    <t>Electrical Dist No3 Pinal County</t>
  </si>
  <si>
    <t>Emerald People's Utility Dist</t>
  </si>
  <si>
    <t>Total MWh Demand Response</t>
  </si>
  <si>
    <t>Total MW Actual Peak Demand Savings</t>
  </si>
  <si>
    <t>Hours per Year</t>
  </si>
  <si>
    <t>Calculated Capacity Factor</t>
  </si>
  <si>
    <t>(dmnl)</t>
  </si>
  <si>
    <t xml:space="preserve">DR Capacity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</si>
</sst>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4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</cellStyleXfs>
  <cellXfs count="42">
    <xf numFmtId="0" fontId="0" fillId="0" borderId="0" xfId="0"/>
    <xf numFmtId="0" fontId="1" fillId="0" borderId="0" xfId="0" applyFont="1"/>
    <xf numFmtId="10" fontId="1" fillId="0" borderId="0" xfId="0" applyNumberFormat="1" applyFont="1" applyAlignment="1">
      <alignment horizontal="left"/>
    </xf>
    <xf numFmtId="0" fontId="2" fillId="0" borderId="0" xfId="0" applyFont="1"/>
    <xf numFmtId="0" fontId="6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3" fontId="5" fillId="10" borderId="1" xfId="0" applyNumberFormat="1" applyFont="1" applyFill="1" applyBorder="1" applyAlignment="1">
      <alignment horizontal="right" wrapText="1"/>
    </xf>
    <xf numFmtId="3" fontId="5" fillId="12" borderId="1" xfId="0" applyNumberFormat="1" applyFont="1" applyFill="1" applyBorder="1" applyAlignment="1">
      <alignment horizontal="right" wrapText="1"/>
    </xf>
    <xf numFmtId="165" fontId="5" fillId="10" borderId="1" xfId="0" applyNumberFormat="1" applyFont="1" applyFill="1" applyBorder="1" applyAlignment="1">
      <alignment horizontal="right" wrapText="1"/>
    </xf>
    <xf numFmtId="165" fontId="5" fillId="12" borderId="1" xfId="0" applyNumberFormat="1" applyFont="1" applyFill="1" applyBorder="1" applyAlignment="1">
      <alignment horizontal="right" wrapText="1"/>
    </xf>
    <xf numFmtId="3" fontId="5" fillId="11" borderId="1" xfId="0" applyNumberFormat="1" applyFont="1" applyFill="1" applyBorder="1" applyAlignment="1">
      <alignment horizontal="right" wrapText="1"/>
    </xf>
    <xf numFmtId="3" fontId="5" fillId="13" borderId="1" xfId="0" applyNumberFormat="1" applyFont="1" applyFill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8" fillId="9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center" vertical="center" wrapText="1"/>
    </xf>
    <xf numFmtId="165" fontId="8" fillId="10" borderId="1" xfId="0" applyNumberFormat="1" applyFont="1" applyFill="1" applyBorder="1" applyAlignment="1">
      <alignment horizontal="center" vertical="center" wrapText="1"/>
    </xf>
    <xf numFmtId="165" fontId="8" fillId="12" borderId="1" xfId="0" applyNumberFormat="1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left" wrapText="1"/>
    </xf>
    <xf numFmtId="3" fontId="7" fillId="10" borderId="1" xfId="0" applyNumberFormat="1" applyFont="1" applyFill="1" applyBorder="1" applyAlignment="1">
      <alignment horizontal="right" wrapText="1"/>
    </xf>
    <xf numFmtId="3" fontId="7" fillId="12" borderId="1" xfId="0" applyNumberFormat="1" applyFont="1" applyFill="1" applyBorder="1" applyAlignment="1">
      <alignment horizontal="right" wrapText="1"/>
    </xf>
    <xf numFmtId="165" fontId="7" fillId="10" borderId="1" xfId="0" applyNumberFormat="1" applyFont="1" applyFill="1" applyBorder="1" applyAlignment="1">
      <alignment horizontal="right" wrapText="1"/>
    </xf>
    <xf numFmtId="165" fontId="7" fillId="12" borderId="1" xfId="0" applyNumberFormat="1" applyFont="1" applyFill="1" applyBorder="1" applyAlignment="1">
      <alignment horizontal="right" wrapText="1"/>
    </xf>
    <xf numFmtId="3" fontId="7" fillId="11" borderId="1" xfId="0" applyNumberFormat="1" applyFont="1" applyFill="1" applyBorder="1" applyAlignment="1">
      <alignment horizontal="right" wrapText="1"/>
    </xf>
    <xf numFmtId="3" fontId="7" fillId="13" borderId="1" xfId="0" applyNumberFormat="1" applyFont="1" applyFill="1" applyBorder="1" applyAlignment="1">
      <alignment horizontal="right" wrapText="1"/>
    </xf>
    <xf numFmtId="3" fontId="7" fillId="0" borderId="1" xfId="0" applyNumberFormat="1" applyFont="1" applyBorder="1" applyAlignment="1">
      <alignment horizontal="right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8" fillId="9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</cellXfs>
  <cellStyles count="8">
    <cellStyle name="60% - Accent1 2" xfId="2" xr:uid="{00000000-0005-0000-0000-000024000000}"/>
    <cellStyle name="60% - Accent2 2" xfId="3" xr:uid="{00000000-0005-0000-0000-000025000000}"/>
    <cellStyle name="60% - Accent3 2" xfId="4" xr:uid="{00000000-0005-0000-0000-000026000000}"/>
    <cellStyle name="60% - Accent4 2" xfId="5" xr:uid="{00000000-0005-0000-0000-000027000000}"/>
    <cellStyle name="60% - Accent5 2" xfId="6" xr:uid="{00000000-0005-0000-0000-000028000000}"/>
    <cellStyle name="60% - Accent6 2" xfId="7" xr:uid="{00000000-0005-0000-0000-000029000000}"/>
    <cellStyle name="Neutral 2" xfId="1" xr:uid="{00000000-0005-0000-0000-00002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8" sqref="B8"/>
    </sheetView>
  </sheetViews>
  <sheetFormatPr defaultRowHeight="15" x14ac:dyDescent="0.25"/>
  <cols>
    <col min="2" max="2" width="28.57031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4" t="s">
        <v>3</v>
      </c>
    </row>
    <row r="4" spans="1:2" x14ac:dyDescent="0.25">
      <c r="B4" s="6">
        <v>2021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9" spans="1:2" x14ac:dyDescent="0.25">
      <c r="A9" s="1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24" spans="2:2" x14ac:dyDescent="0.25">
      <c r="B24" s="1"/>
    </row>
    <row r="25" spans="2:2" x14ac:dyDescent="0.25">
      <c r="B25" s="2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95"/>
  <sheetViews>
    <sheetView zoomScale="70" zoomScaleNormal="70" workbookViewId="0">
      <selection activeCell="V6" sqref="V6"/>
    </sheetView>
  </sheetViews>
  <sheetFormatPr defaultRowHeight="15" x14ac:dyDescent="0.25"/>
  <sheetData>
    <row r="1" spans="1:36" ht="26.1" customHeight="1" x14ac:dyDescent="0.25">
      <c r="A1" s="38" t="s">
        <v>12</v>
      </c>
      <c r="B1" s="36"/>
      <c r="C1" s="36"/>
      <c r="D1" s="36"/>
      <c r="E1" s="37"/>
      <c r="F1" s="35" t="s">
        <v>13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  <c r="Z1" s="40" t="s">
        <v>14</v>
      </c>
      <c r="AA1" s="36"/>
      <c r="AB1" s="36"/>
      <c r="AC1" s="36"/>
      <c r="AD1" s="36"/>
      <c r="AE1" s="36"/>
      <c r="AF1" s="36"/>
      <c r="AG1" s="36"/>
      <c r="AH1" s="36"/>
      <c r="AI1" s="37"/>
      <c r="AJ1" s="17" t="s">
        <v>15</v>
      </c>
    </row>
    <row r="2" spans="1:36" ht="39" customHeight="1" x14ac:dyDescent="0.25">
      <c r="A2" s="38"/>
      <c r="B2" s="36"/>
      <c r="C2" s="36"/>
      <c r="D2" s="36"/>
      <c r="E2" s="37"/>
      <c r="F2" s="35" t="s">
        <v>16</v>
      </c>
      <c r="G2" s="36"/>
      <c r="H2" s="36"/>
      <c r="I2" s="36"/>
      <c r="J2" s="37"/>
      <c r="K2" s="39" t="s">
        <v>17</v>
      </c>
      <c r="L2" s="36"/>
      <c r="M2" s="36"/>
      <c r="N2" s="36"/>
      <c r="O2" s="37"/>
      <c r="P2" s="35" t="s">
        <v>18</v>
      </c>
      <c r="Q2" s="36"/>
      <c r="R2" s="36"/>
      <c r="S2" s="36"/>
      <c r="T2" s="37"/>
      <c r="U2" s="39" t="s">
        <v>19</v>
      </c>
      <c r="V2" s="36"/>
      <c r="W2" s="36"/>
      <c r="X2" s="36"/>
      <c r="Y2" s="37"/>
      <c r="Z2" s="40" t="s">
        <v>20</v>
      </c>
      <c r="AA2" s="36"/>
      <c r="AB2" s="36"/>
      <c r="AC2" s="36"/>
      <c r="AD2" s="37"/>
      <c r="AE2" s="41" t="s">
        <v>21</v>
      </c>
      <c r="AF2" s="36"/>
      <c r="AG2" s="36"/>
      <c r="AH2" s="36"/>
      <c r="AI2" s="37"/>
      <c r="AJ2" s="17" t="s">
        <v>22</v>
      </c>
    </row>
    <row r="3" spans="1:36" ht="26.1" customHeight="1" x14ac:dyDescent="0.25">
      <c r="A3" s="17" t="s">
        <v>23</v>
      </c>
      <c r="B3" s="17" t="s">
        <v>24</v>
      </c>
      <c r="C3" s="17" t="s">
        <v>25</v>
      </c>
      <c r="D3" s="17" t="s">
        <v>26</v>
      </c>
      <c r="E3" s="17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  <c r="K3" s="19" t="s">
        <v>28</v>
      </c>
      <c r="L3" s="19" t="s">
        <v>29</v>
      </c>
      <c r="M3" s="19" t="s">
        <v>30</v>
      </c>
      <c r="N3" s="19" t="s">
        <v>31</v>
      </c>
      <c r="O3" s="19" t="s">
        <v>32</v>
      </c>
      <c r="P3" s="20" t="s">
        <v>28</v>
      </c>
      <c r="Q3" s="20" t="s">
        <v>29</v>
      </c>
      <c r="R3" s="20" t="s">
        <v>30</v>
      </c>
      <c r="S3" s="20" t="s">
        <v>31</v>
      </c>
      <c r="T3" s="20" t="s">
        <v>32</v>
      </c>
      <c r="U3" s="21" t="s">
        <v>28</v>
      </c>
      <c r="V3" s="21" t="s">
        <v>29</v>
      </c>
      <c r="W3" s="21" t="s">
        <v>30</v>
      </c>
      <c r="X3" s="21" t="s">
        <v>31</v>
      </c>
      <c r="Y3" s="21" t="s">
        <v>32</v>
      </c>
      <c r="Z3" s="22" t="s">
        <v>28</v>
      </c>
      <c r="AA3" s="22" t="s">
        <v>29</v>
      </c>
      <c r="AB3" s="22" t="s">
        <v>30</v>
      </c>
      <c r="AC3" s="22" t="s">
        <v>31</v>
      </c>
      <c r="AD3" s="22" t="s">
        <v>32</v>
      </c>
      <c r="AE3" s="23" t="s">
        <v>28</v>
      </c>
      <c r="AF3" s="23" t="s">
        <v>29</v>
      </c>
      <c r="AG3" s="23" t="s">
        <v>30</v>
      </c>
      <c r="AH3" s="23" t="s">
        <v>31</v>
      </c>
      <c r="AI3" s="23" t="s">
        <v>32</v>
      </c>
      <c r="AJ3" s="24" t="s">
        <v>33</v>
      </c>
    </row>
    <row r="4" spans="1:36" ht="38.450000000000003" customHeight="1" x14ac:dyDescent="0.25">
      <c r="A4" s="25">
        <v>2021</v>
      </c>
      <c r="B4" s="26">
        <v>162</v>
      </c>
      <c r="C4" s="27" t="s">
        <v>34</v>
      </c>
      <c r="D4" s="27" t="s">
        <v>35</v>
      </c>
      <c r="E4" s="27" t="s">
        <v>35</v>
      </c>
      <c r="F4" s="28">
        <v>284</v>
      </c>
      <c r="G4" s="28">
        <v>0</v>
      </c>
      <c r="H4" s="28">
        <v>0</v>
      </c>
      <c r="I4" s="28">
        <v>0</v>
      </c>
      <c r="J4" s="28">
        <v>284</v>
      </c>
      <c r="K4" s="29">
        <v>3.5249999999999999</v>
      </c>
      <c r="L4" s="29">
        <v>0</v>
      </c>
      <c r="M4" s="29">
        <v>0</v>
      </c>
      <c r="N4" s="29">
        <v>0</v>
      </c>
      <c r="O4" s="29">
        <v>3.5249999999999999</v>
      </c>
      <c r="P4" s="30">
        <v>0.20200000000000001</v>
      </c>
      <c r="Q4" s="30">
        <v>0</v>
      </c>
      <c r="R4" s="30">
        <v>0</v>
      </c>
      <c r="S4" s="30">
        <v>0</v>
      </c>
      <c r="T4" s="30">
        <v>0.20200000000000001</v>
      </c>
      <c r="U4" s="31">
        <v>0.20200000000000001</v>
      </c>
      <c r="V4" s="31">
        <v>0</v>
      </c>
      <c r="W4" s="31">
        <v>0</v>
      </c>
      <c r="X4" s="31">
        <v>0</v>
      </c>
      <c r="Y4" s="31">
        <v>0.20200000000000001</v>
      </c>
      <c r="Z4" s="32">
        <v>14.2</v>
      </c>
      <c r="AA4" s="32">
        <v>0</v>
      </c>
      <c r="AB4" s="32">
        <v>0</v>
      </c>
      <c r="AC4" s="32">
        <v>0</v>
      </c>
      <c r="AD4" s="32">
        <v>14.2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4">
        <v>231</v>
      </c>
    </row>
    <row r="5" spans="1:36" ht="63.6" customHeight="1" x14ac:dyDescent="0.25">
      <c r="A5" s="25">
        <v>2021</v>
      </c>
      <c r="B5" s="26">
        <v>189</v>
      </c>
      <c r="C5" s="27" t="s">
        <v>36</v>
      </c>
      <c r="D5" s="27" t="s">
        <v>37</v>
      </c>
      <c r="E5" s="27" t="s">
        <v>38</v>
      </c>
      <c r="F5" s="28">
        <v>20948</v>
      </c>
      <c r="G5" s="28" t="s">
        <v>39</v>
      </c>
      <c r="H5" s="28" t="s">
        <v>39</v>
      </c>
      <c r="I5" s="28" t="s">
        <v>39</v>
      </c>
      <c r="J5" s="28">
        <v>20948</v>
      </c>
      <c r="K5" s="29">
        <v>0</v>
      </c>
      <c r="L5" s="29" t="s">
        <v>39</v>
      </c>
      <c r="M5" s="29" t="s">
        <v>39</v>
      </c>
      <c r="N5" s="29" t="s">
        <v>39</v>
      </c>
      <c r="O5" s="29">
        <v>0</v>
      </c>
      <c r="P5" s="30">
        <v>18</v>
      </c>
      <c r="Q5" s="30" t="s">
        <v>39</v>
      </c>
      <c r="R5" s="30" t="s">
        <v>39</v>
      </c>
      <c r="S5" s="30" t="s">
        <v>39</v>
      </c>
      <c r="T5" s="30">
        <v>18</v>
      </c>
      <c r="U5" s="31">
        <v>18</v>
      </c>
      <c r="V5" s="31" t="s">
        <v>39</v>
      </c>
      <c r="W5" s="31" t="s">
        <v>39</v>
      </c>
      <c r="X5" s="31" t="s">
        <v>39</v>
      </c>
      <c r="Y5" s="31">
        <v>18</v>
      </c>
      <c r="Z5" s="32">
        <v>0</v>
      </c>
      <c r="AA5" s="32" t="s">
        <v>39</v>
      </c>
      <c r="AB5" s="32" t="s">
        <v>39</v>
      </c>
      <c r="AC5" s="32" t="s">
        <v>39</v>
      </c>
      <c r="AD5" s="32">
        <v>0</v>
      </c>
      <c r="AE5" s="33">
        <v>105</v>
      </c>
      <c r="AF5" s="33" t="s">
        <v>39</v>
      </c>
      <c r="AG5" s="33" t="s">
        <v>39</v>
      </c>
      <c r="AH5" s="33" t="s">
        <v>39</v>
      </c>
      <c r="AI5" s="33">
        <v>105</v>
      </c>
      <c r="AJ5" s="34">
        <v>177</v>
      </c>
    </row>
    <row r="6" spans="1:36" ht="38.450000000000003" customHeight="1" x14ac:dyDescent="0.25">
      <c r="A6" s="25">
        <v>2021</v>
      </c>
      <c r="B6" s="26">
        <v>195</v>
      </c>
      <c r="C6" s="27" t="s">
        <v>40</v>
      </c>
      <c r="D6" s="27" t="s">
        <v>37</v>
      </c>
      <c r="E6" s="27" t="s">
        <v>38</v>
      </c>
      <c r="F6" s="28">
        <v>5488</v>
      </c>
      <c r="G6" s="28">
        <v>5</v>
      </c>
      <c r="H6" s="28">
        <v>28</v>
      </c>
      <c r="I6" s="28" t="s">
        <v>39</v>
      </c>
      <c r="J6" s="28">
        <v>5521</v>
      </c>
      <c r="K6" s="29">
        <v>0</v>
      </c>
      <c r="L6" s="29">
        <v>0</v>
      </c>
      <c r="M6" s="29">
        <v>0</v>
      </c>
      <c r="N6" s="29" t="s">
        <v>39</v>
      </c>
      <c r="O6" s="29">
        <v>0</v>
      </c>
      <c r="P6" s="30">
        <v>147.39400000000001</v>
      </c>
      <c r="Q6" s="30">
        <v>4.4550000000000001</v>
      </c>
      <c r="R6" s="30">
        <v>1530.6759999999999</v>
      </c>
      <c r="S6" s="30" t="s">
        <v>39</v>
      </c>
      <c r="T6" s="30">
        <v>1682.5250000000001</v>
      </c>
      <c r="U6" s="31">
        <v>2.4790000000000001</v>
      </c>
      <c r="V6" s="31">
        <v>0</v>
      </c>
      <c r="W6" s="31">
        <v>0</v>
      </c>
      <c r="X6" s="31" t="s">
        <v>39</v>
      </c>
      <c r="Y6" s="31">
        <v>2.4790000000000001</v>
      </c>
      <c r="Z6" s="32">
        <v>250.375</v>
      </c>
      <c r="AA6" s="32">
        <v>107.474</v>
      </c>
      <c r="AB6" s="32">
        <v>26583.809000000001</v>
      </c>
      <c r="AC6" s="32" t="s">
        <v>39</v>
      </c>
      <c r="AD6" s="32">
        <v>26941.657999999999</v>
      </c>
      <c r="AE6" s="33">
        <v>842.04600000000005</v>
      </c>
      <c r="AF6" s="33">
        <v>10.132999999999999</v>
      </c>
      <c r="AG6" s="33">
        <v>1129.6189999999999</v>
      </c>
      <c r="AH6" s="33" t="s">
        <v>39</v>
      </c>
      <c r="AI6" s="33">
        <v>1981.798</v>
      </c>
      <c r="AJ6" s="34" t="s">
        <v>39</v>
      </c>
    </row>
    <row r="7" spans="1:36" ht="38.450000000000003" customHeight="1" x14ac:dyDescent="0.25">
      <c r="A7" s="25">
        <v>2021</v>
      </c>
      <c r="B7" s="26">
        <v>207</v>
      </c>
      <c r="C7" s="27" t="s">
        <v>41</v>
      </c>
      <c r="D7" s="27" t="s">
        <v>42</v>
      </c>
      <c r="E7" s="27" t="s">
        <v>43</v>
      </c>
      <c r="F7" s="28">
        <v>32044</v>
      </c>
      <c r="G7" s="28">
        <v>4135</v>
      </c>
      <c r="H7" s="28" t="s">
        <v>39</v>
      </c>
      <c r="I7" s="28" t="s">
        <v>39</v>
      </c>
      <c r="J7" s="28">
        <v>36179</v>
      </c>
      <c r="K7" s="29" t="s">
        <v>39</v>
      </c>
      <c r="L7" s="29" t="s">
        <v>39</v>
      </c>
      <c r="M7" s="29" t="s">
        <v>39</v>
      </c>
      <c r="N7" s="29" t="s">
        <v>39</v>
      </c>
      <c r="O7" s="29" t="s">
        <v>39</v>
      </c>
      <c r="P7" s="30" t="s">
        <v>39</v>
      </c>
      <c r="Q7" s="30" t="s">
        <v>39</v>
      </c>
      <c r="R7" s="30" t="s">
        <v>39</v>
      </c>
      <c r="S7" s="30" t="s">
        <v>39</v>
      </c>
      <c r="T7" s="30" t="s">
        <v>39</v>
      </c>
      <c r="U7" s="31" t="s">
        <v>39</v>
      </c>
      <c r="V7" s="31" t="s">
        <v>39</v>
      </c>
      <c r="W7" s="31" t="s">
        <v>39</v>
      </c>
      <c r="X7" s="31" t="s">
        <v>39</v>
      </c>
      <c r="Y7" s="31" t="s">
        <v>39</v>
      </c>
      <c r="Z7" s="32" t="s">
        <v>39</v>
      </c>
      <c r="AA7" s="32" t="s">
        <v>39</v>
      </c>
      <c r="AB7" s="32" t="s">
        <v>39</v>
      </c>
      <c r="AC7" s="32" t="s">
        <v>39</v>
      </c>
      <c r="AD7" s="32" t="s">
        <v>39</v>
      </c>
      <c r="AE7" s="33" t="s">
        <v>39</v>
      </c>
      <c r="AF7" s="33" t="s">
        <v>39</v>
      </c>
      <c r="AG7" s="33" t="s">
        <v>39</v>
      </c>
      <c r="AH7" s="33" t="s">
        <v>39</v>
      </c>
      <c r="AI7" s="33" t="s">
        <v>39</v>
      </c>
      <c r="AJ7" s="34" t="s">
        <v>39</v>
      </c>
    </row>
    <row r="8" spans="1:36" ht="63.6" customHeight="1" x14ac:dyDescent="0.25">
      <c r="A8" s="25">
        <v>2021</v>
      </c>
      <c r="B8" s="26">
        <v>213</v>
      </c>
      <c r="C8" s="27" t="s">
        <v>44</v>
      </c>
      <c r="D8" s="27" t="s">
        <v>45</v>
      </c>
      <c r="E8" s="27" t="s">
        <v>46</v>
      </c>
      <c r="F8" s="28">
        <v>2263</v>
      </c>
      <c r="G8" s="28">
        <v>30</v>
      </c>
      <c r="H8" s="28" t="s">
        <v>39</v>
      </c>
      <c r="I8" s="28" t="s">
        <v>39</v>
      </c>
      <c r="J8" s="28">
        <v>2293</v>
      </c>
      <c r="K8" s="29" t="s">
        <v>39</v>
      </c>
      <c r="L8" s="29" t="s">
        <v>39</v>
      </c>
      <c r="M8" s="29" t="s">
        <v>39</v>
      </c>
      <c r="N8" s="29" t="s">
        <v>39</v>
      </c>
      <c r="O8" s="29" t="s">
        <v>39</v>
      </c>
      <c r="P8" s="30">
        <v>5</v>
      </c>
      <c r="Q8" s="30">
        <v>13</v>
      </c>
      <c r="R8" s="30" t="s">
        <v>39</v>
      </c>
      <c r="S8" s="30" t="s">
        <v>39</v>
      </c>
      <c r="T8" s="30">
        <v>18</v>
      </c>
      <c r="U8" s="31" t="s">
        <v>39</v>
      </c>
      <c r="V8" s="31" t="s">
        <v>39</v>
      </c>
      <c r="W8" s="31" t="s">
        <v>39</v>
      </c>
      <c r="X8" s="31" t="s">
        <v>39</v>
      </c>
      <c r="Y8" s="31" t="s">
        <v>39</v>
      </c>
      <c r="Z8" s="32">
        <v>63.569000000000003</v>
      </c>
      <c r="AA8" s="32">
        <v>0.84299999999999997</v>
      </c>
      <c r="AB8" s="32" t="s">
        <v>39</v>
      </c>
      <c r="AC8" s="32" t="s">
        <v>39</v>
      </c>
      <c r="AD8" s="32">
        <v>64.412000000000006</v>
      </c>
      <c r="AE8" s="33">
        <v>1.7</v>
      </c>
      <c r="AF8" s="33">
        <v>2.3E-2</v>
      </c>
      <c r="AG8" s="33" t="s">
        <v>39</v>
      </c>
      <c r="AH8" s="33" t="s">
        <v>39</v>
      </c>
      <c r="AI8" s="33">
        <v>1.7230000000000001</v>
      </c>
      <c r="AJ8" s="34" t="s">
        <v>39</v>
      </c>
    </row>
    <row r="9" spans="1:36" ht="38.450000000000003" customHeight="1" x14ac:dyDescent="0.25">
      <c r="A9" s="25">
        <v>2021</v>
      </c>
      <c r="B9" s="26">
        <v>295</v>
      </c>
      <c r="C9" s="27" t="s">
        <v>47</v>
      </c>
      <c r="D9" s="27" t="s">
        <v>48</v>
      </c>
      <c r="E9" s="27" t="s">
        <v>49</v>
      </c>
      <c r="F9" s="28">
        <v>2823</v>
      </c>
      <c r="G9" s="28" t="s">
        <v>39</v>
      </c>
      <c r="H9" s="28" t="s">
        <v>39</v>
      </c>
      <c r="I9" s="28" t="s">
        <v>39</v>
      </c>
      <c r="J9" s="28">
        <v>2823</v>
      </c>
      <c r="K9" s="29" t="s">
        <v>39</v>
      </c>
      <c r="L9" s="29" t="s">
        <v>39</v>
      </c>
      <c r="M9" s="29" t="s">
        <v>39</v>
      </c>
      <c r="N9" s="29" t="s">
        <v>39</v>
      </c>
      <c r="O9" s="29" t="s">
        <v>39</v>
      </c>
      <c r="P9" s="30">
        <v>9</v>
      </c>
      <c r="Q9" s="30" t="s">
        <v>39</v>
      </c>
      <c r="R9" s="30" t="s">
        <v>39</v>
      </c>
      <c r="S9" s="30" t="s">
        <v>39</v>
      </c>
      <c r="T9" s="30">
        <v>9</v>
      </c>
      <c r="U9" s="31">
        <v>3.7</v>
      </c>
      <c r="V9" s="31" t="s">
        <v>39</v>
      </c>
      <c r="W9" s="31" t="s">
        <v>39</v>
      </c>
      <c r="X9" s="31" t="s">
        <v>39</v>
      </c>
      <c r="Y9" s="31">
        <v>3.7</v>
      </c>
      <c r="Z9" s="32">
        <v>0</v>
      </c>
      <c r="AA9" s="32" t="s">
        <v>39</v>
      </c>
      <c r="AB9" s="32" t="s">
        <v>39</v>
      </c>
      <c r="AC9" s="32" t="s">
        <v>39</v>
      </c>
      <c r="AD9" s="32">
        <v>0</v>
      </c>
      <c r="AE9" s="33">
        <v>42.7</v>
      </c>
      <c r="AF9" s="33" t="s">
        <v>39</v>
      </c>
      <c r="AG9" s="33" t="s">
        <v>39</v>
      </c>
      <c r="AH9" s="33" t="s">
        <v>39</v>
      </c>
      <c r="AI9" s="33">
        <v>42.7</v>
      </c>
      <c r="AJ9" s="34" t="s">
        <v>39</v>
      </c>
    </row>
    <row r="10" spans="1:36" ht="38.450000000000003" customHeight="1" x14ac:dyDescent="0.25">
      <c r="A10" s="25">
        <v>2021</v>
      </c>
      <c r="B10" s="26">
        <v>332</v>
      </c>
      <c r="C10" s="27" t="s">
        <v>50</v>
      </c>
      <c r="D10" s="27" t="s">
        <v>51</v>
      </c>
      <c r="E10" s="27" t="s">
        <v>52</v>
      </c>
      <c r="F10" s="28">
        <v>45080</v>
      </c>
      <c r="G10" s="28" t="s">
        <v>39</v>
      </c>
      <c r="H10" s="28" t="s">
        <v>39</v>
      </c>
      <c r="I10" s="28" t="s">
        <v>39</v>
      </c>
      <c r="J10" s="28">
        <v>45080</v>
      </c>
      <c r="K10" s="29" t="s">
        <v>39</v>
      </c>
      <c r="L10" s="29" t="s">
        <v>39</v>
      </c>
      <c r="M10" s="29" t="s">
        <v>39</v>
      </c>
      <c r="N10" s="29" t="s">
        <v>39</v>
      </c>
      <c r="O10" s="29" t="s">
        <v>39</v>
      </c>
      <c r="P10" s="30">
        <v>45</v>
      </c>
      <c r="Q10" s="30" t="s">
        <v>39</v>
      </c>
      <c r="R10" s="30" t="s">
        <v>39</v>
      </c>
      <c r="S10" s="30" t="s">
        <v>39</v>
      </c>
      <c r="T10" s="30">
        <v>45</v>
      </c>
      <c r="U10" s="31">
        <v>43</v>
      </c>
      <c r="V10" s="31" t="s">
        <v>39</v>
      </c>
      <c r="W10" s="31" t="s">
        <v>39</v>
      </c>
      <c r="X10" s="31" t="s">
        <v>39</v>
      </c>
      <c r="Y10" s="31">
        <v>43</v>
      </c>
      <c r="Z10" s="32" t="s">
        <v>39</v>
      </c>
      <c r="AA10" s="32" t="s">
        <v>39</v>
      </c>
      <c r="AB10" s="32" t="s">
        <v>39</v>
      </c>
      <c r="AC10" s="32" t="s">
        <v>39</v>
      </c>
      <c r="AD10" s="32" t="s">
        <v>39</v>
      </c>
      <c r="AE10" s="33">
        <v>2680.2330000000002</v>
      </c>
      <c r="AF10" s="33" t="s">
        <v>39</v>
      </c>
      <c r="AG10" s="33" t="s">
        <v>39</v>
      </c>
      <c r="AH10" s="33" t="s">
        <v>39</v>
      </c>
      <c r="AI10" s="33">
        <v>2680.2330000000002</v>
      </c>
      <c r="AJ10" s="34" t="s">
        <v>39</v>
      </c>
    </row>
    <row r="11" spans="1:36" ht="51" customHeight="1" x14ac:dyDescent="0.25">
      <c r="A11" s="25">
        <v>2021</v>
      </c>
      <c r="B11" s="26">
        <v>407</v>
      </c>
      <c r="C11" s="27" t="s">
        <v>53</v>
      </c>
      <c r="D11" s="27" t="s">
        <v>54</v>
      </c>
      <c r="E11" s="27" t="s">
        <v>38</v>
      </c>
      <c r="F11" s="28" t="s">
        <v>39</v>
      </c>
      <c r="G11" s="28" t="s">
        <v>39</v>
      </c>
      <c r="H11" s="28">
        <v>234</v>
      </c>
      <c r="I11" s="28" t="s">
        <v>39</v>
      </c>
      <c r="J11" s="28">
        <v>234</v>
      </c>
      <c r="K11" s="29" t="s">
        <v>39</v>
      </c>
      <c r="L11" s="29" t="s">
        <v>39</v>
      </c>
      <c r="M11" s="29">
        <v>151</v>
      </c>
      <c r="N11" s="29" t="s">
        <v>39</v>
      </c>
      <c r="O11" s="29">
        <v>151</v>
      </c>
      <c r="P11" s="30" t="s">
        <v>39</v>
      </c>
      <c r="Q11" s="30" t="s">
        <v>39</v>
      </c>
      <c r="R11" s="30">
        <v>16</v>
      </c>
      <c r="S11" s="30" t="s">
        <v>39</v>
      </c>
      <c r="T11" s="30">
        <v>16</v>
      </c>
      <c r="U11" s="31" t="s">
        <v>39</v>
      </c>
      <c r="V11" s="31" t="s">
        <v>39</v>
      </c>
      <c r="W11" s="31">
        <v>10</v>
      </c>
      <c r="X11" s="31" t="s">
        <v>39</v>
      </c>
      <c r="Y11" s="31">
        <v>10</v>
      </c>
      <c r="Z11" s="32" t="s">
        <v>39</v>
      </c>
      <c r="AA11" s="32" t="s">
        <v>39</v>
      </c>
      <c r="AB11" s="32" t="s">
        <v>39</v>
      </c>
      <c r="AC11" s="32" t="s">
        <v>39</v>
      </c>
      <c r="AD11" s="32" t="s">
        <v>39</v>
      </c>
      <c r="AE11" s="33" t="s">
        <v>39</v>
      </c>
      <c r="AF11" s="33" t="s">
        <v>39</v>
      </c>
      <c r="AG11" s="33">
        <v>130</v>
      </c>
      <c r="AH11" s="33" t="s">
        <v>39</v>
      </c>
      <c r="AI11" s="33">
        <v>130</v>
      </c>
      <c r="AJ11" s="34" t="s">
        <v>39</v>
      </c>
    </row>
    <row r="12" spans="1:36" ht="38.450000000000003" customHeight="1" x14ac:dyDescent="0.25">
      <c r="A12" s="25">
        <v>2021</v>
      </c>
      <c r="B12" s="26">
        <v>590</v>
      </c>
      <c r="C12" s="27" t="s">
        <v>55</v>
      </c>
      <c r="D12" s="27" t="s">
        <v>42</v>
      </c>
      <c r="E12" s="27" t="s">
        <v>43</v>
      </c>
      <c r="F12" s="28">
        <v>431</v>
      </c>
      <c r="G12" s="28">
        <v>12</v>
      </c>
      <c r="H12" s="28" t="s">
        <v>39</v>
      </c>
      <c r="I12" s="28" t="s">
        <v>39</v>
      </c>
      <c r="J12" s="28">
        <v>443</v>
      </c>
      <c r="K12" s="29">
        <v>2.2480000000000002</v>
      </c>
      <c r="L12" s="29" t="s">
        <v>39</v>
      </c>
      <c r="M12" s="29" t="s">
        <v>39</v>
      </c>
      <c r="N12" s="29" t="s">
        <v>39</v>
      </c>
      <c r="O12" s="29">
        <v>2.2480000000000002</v>
      </c>
      <c r="P12" s="30" t="s">
        <v>39</v>
      </c>
      <c r="Q12" s="30">
        <v>8.4</v>
      </c>
      <c r="R12" s="30" t="s">
        <v>39</v>
      </c>
      <c r="S12" s="30" t="s">
        <v>39</v>
      </c>
      <c r="T12" s="30">
        <v>8.4</v>
      </c>
      <c r="U12" s="31" t="s">
        <v>39</v>
      </c>
      <c r="V12" s="31" t="s">
        <v>39</v>
      </c>
      <c r="W12" s="31" t="s">
        <v>39</v>
      </c>
      <c r="X12" s="31" t="s">
        <v>39</v>
      </c>
      <c r="Y12" s="31" t="s">
        <v>39</v>
      </c>
      <c r="Z12" s="32">
        <v>6.4809999999999999</v>
      </c>
      <c r="AA12" s="32" t="s">
        <v>39</v>
      </c>
      <c r="AB12" s="32" t="s">
        <v>39</v>
      </c>
      <c r="AC12" s="32" t="s">
        <v>39</v>
      </c>
      <c r="AD12" s="32">
        <v>6.4809999999999999</v>
      </c>
      <c r="AE12" s="33" t="s">
        <v>39</v>
      </c>
      <c r="AF12" s="33" t="s">
        <v>39</v>
      </c>
      <c r="AG12" s="33" t="s">
        <v>39</v>
      </c>
      <c r="AH12" s="33" t="s">
        <v>39</v>
      </c>
      <c r="AI12" s="33" t="s">
        <v>39</v>
      </c>
      <c r="AJ12" s="34" t="s">
        <v>39</v>
      </c>
    </row>
    <row r="13" spans="1:36" ht="38.450000000000003" customHeight="1" x14ac:dyDescent="0.25">
      <c r="A13" s="25">
        <v>2021</v>
      </c>
      <c r="B13" s="26">
        <v>733</v>
      </c>
      <c r="C13" s="27" t="s">
        <v>56</v>
      </c>
      <c r="D13" s="27" t="s">
        <v>57</v>
      </c>
      <c r="E13" s="27" t="s">
        <v>52</v>
      </c>
      <c r="F13" s="28">
        <v>4031</v>
      </c>
      <c r="G13" s="28">
        <v>0</v>
      </c>
      <c r="H13" s="28">
        <v>0</v>
      </c>
      <c r="I13" s="28">
        <v>0</v>
      </c>
      <c r="J13" s="28">
        <v>4031</v>
      </c>
      <c r="K13" s="29">
        <v>122</v>
      </c>
      <c r="L13" s="29">
        <v>0</v>
      </c>
      <c r="M13" s="29">
        <v>0</v>
      </c>
      <c r="N13" s="29">
        <v>0</v>
      </c>
      <c r="O13" s="29">
        <v>122</v>
      </c>
      <c r="P13" s="30">
        <v>4.5</v>
      </c>
      <c r="Q13" s="30">
        <v>0</v>
      </c>
      <c r="R13" s="30">
        <v>0</v>
      </c>
      <c r="S13" s="30">
        <v>0</v>
      </c>
      <c r="T13" s="30">
        <v>4.5</v>
      </c>
      <c r="U13" s="31">
        <v>4.5</v>
      </c>
      <c r="V13" s="31">
        <v>0</v>
      </c>
      <c r="W13" s="31">
        <v>0</v>
      </c>
      <c r="X13" s="31">
        <v>0</v>
      </c>
      <c r="Y13" s="31">
        <v>4.5</v>
      </c>
      <c r="Z13" s="32">
        <v>222</v>
      </c>
      <c r="AA13" s="32">
        <v>0</v>
      </c>
      <c r="AB13" s="32">
        <v>0</v>
      </c>
      <c r="AC13" s="32">
        <v>0</v>
      </c>
      <c r="AD13" s="32">
        <v>222</v>
      </c>
      <c r="AE13" s="33">
        <v>488</v>
      </c>
      <c r="AF13" s="33">
        <v>0</v>
      </c>
      <c r="AG13" s="33">
        <v>0</v>
      </c>
      <c r="AH13" s="33">
        <v>0</v>
      </c>
      <c r="AI13" s="33">
        <v>488</v>
      </c>
      <c r="AJ13" s="34" t="s">
        <v>39</v>
      </c>
    </row>
    <row r="14" spans="1:36" ht="38.450000000000003" customHeight="1" x14ac:dyDescent="0.25">
      <c r="A14" s="25">
        <v>2021</v>
      </c>
      <c r="B14" s="26">
        <v>733</v>
      </c>
      <c r="C14" s="27" t="s">
        <v>56</v>
      </c>
      <c r="D14" s="27" t="s">
        <v>58</v>
      </c>
      <c r="E14" s="27" t="s">
        <v>52</v>
      </c>
      <c r="F14" s="28">
        <v>2278</v>
      </c>
      <c r="G14" s="28">
        <v>0</v>
      </c>
      <c r="H14" s="28">
        <v>5</v>
      </c>
      <c r="I14" s="28">
        <v>0</v>
      </c>
      <c r="J14" s="28">
        <v>2283</v>
      </c>
      <c r="K14" s="29">
        <v>53</v>
      </c>
      <c r="L14" s="29">
        <v>0</v>
      </c>
      <c r="M14" s="29">
        <v>0</v>
      </c>
      <c r="N14" s="29">
        <v>0</v>
      </c>
      <c r="O14" s="29">
        <v>53</v>
      </c>
      <c r="P14" s="30">
        <v>1.8</v>
      </c>
      <c r="Q14" s="30">
        <v>0</v>
      </c>
      <c r="R14" s="30">
        <v>68.2</v>
      </c>
      <c r="S14" s="30">
        <v>0</v>
      </c>
      <c r="T14" s="30">
        <v>70</v>
      </c>
      <c r="U14" s="31">
        <v>1.8</v>
      </c>
      <c r="V14" s="31">
        <v>0</v>
      </c>
      <c r="W14" s="31">
        <v>0</v>
      </c>
      <c r="X14" s="31">
        <v>0</v>
      </c>
      <c r="Y14" s="31">
        <v>1.8</v>
      </c>
      <c r="Z14" s="32">
        <v>99</v>
      </c>
      <c r="AA14" s="32">
        <v>0</v>
      </c>
      <c r="AB14" s="32">
        <v>0</v>
      </c>
      <c r="AC14" s="32">
        <v>0</v>
      </c>
      <c r="AD14" s="32">
        <v>99</v>
      </c>
      <c r="AE14" s="33">
        <v>274</v>
      </c>
      <c r="AF14" s="33">
        <v>0</v>
      </c>
      <c r="AG14" s="33">
        <v>0</v>
      </c>
      <c r="AH14" s="33">
        <v>0</v>
      </c>
      <c r="AI14" s="33">
        <v>274</v>
      </c>
      <c r="AJ14" s="34" t="s">
        <v>39</v>
      </c>
    </row>
    <row r="15" spans="1:36" ht="51" customHeight="1" x14ac:dyDescent="0.25">
      <c r="A15" s="25">
        <v>2021</v>
      </c>
      <c r="B15" s="26">
        <v>803</v>
      </c>
      <c r="C15" s="27" t="s">
        <v>59</v>
      </c>
      <c r="D15" s="27" t="s">
        <v>60</v>
      </c>
      <c r="E15" s="27" t="s">
        <v>61</v>
      </c>
      <c r="F15" s="28">
        <v>781061</v>
      </c>
      <c r="G15" s="28">
        <v>223</v>
      </c>
      <c r="H15" s="28" t="s">
        <v>39</v>
      </c>
      <c r="I15" s="28" t="s">
        <v>39</v>
      </c>
      <c r="J15" s="28">
        <v>781284</v>
      </c>
      <c r="K15" s="29">
        <v>781279</v>
      </c>
      <c r="L15" s="29">
        <v>538</v>
      </c>
      <c r="M15" s="29" t="s">
        <v>39</v>
      </c>
      <c r="N15" s="29" t="s">
        <v>39</v>
      </c>
      <c r="O15" s="29">
        <v>781817</v>
      </c>
      <c r="P15" s="30">
        <v>191.3</v>
      </c>
      <c r="Q15" s="30">
        <v>20.7</v>
      </c>
      <c r="R15" s="30" t="s">
        <v>39</v>
      </c>
      <c r="S15" s="30" t="s">
        <v>39</v>
      </c>
      <c r="T15" s="30">
        <v>212</v>
      </c>
      <c r="U15" s="31">
        <v>191.3</v>
      </c>
      <c r="V15" s="31">
        <v>20.7</v>
      </c>
      <c r="W15" s="31" t="s">
        <v>39</v>
      </c>
      <c r="X15" s="31" t="s">
        <v>39</v>
      </c>
      <c r="Y15" s="31">
        <v>212</v>
      </c>
      <c r="Z15" s="32">
        <v>5783.3</v>
      </c>
      <c r="AA15" s="32" t="s">
        <v>39</v>
      </c>
      <c r="AB15" s="32" t="s">
        <v>39</v>
      </c>
      <c r="AC15" s="32" t="s">
        <v>39</v>
      </c>
      <c r="AD15" s="32">
        <v>5783.3</v>
      </c>
      <c r="AE15" s="33">
        <v>3813.6</v>
      </c>
      <c r="AF15" s="33">
        <v>1008</v>
      </c>
      <c r="AG15" s="33" t="s">
        <v>39</v>
      </c>
      <c r="AH15" s="33" t="s">
        <v>39</v>
      </c>
      <c r="AI15" s="33">
        <v>4821.6000000000004</v>
      </c>
      <c r="AJ15" s="34">
        <v>6</v>
      </c>
    </row>
    <row r="16" spans="1:36" ht="51" customHeight="1" x14ac:dyDescent="0.25">
      <c r="A16" s="25">
        <v>2021</v>
      </c>
      <c r="B16" s="26">
        <v>807</v>
      </c>
      <c r="C16" s="27" t="s">
        <v>62</v>
      </c>
      <c r="D16" s="27" t="s">
        <v>63</v>
      </c>
      <c r="E16" s="27" t="s">
        <v>49</v>
      </c>
      <c r="F16" s="28" t="s">
        <v>39</v>
      </c>
      <c r="G16" s="28" t="s">
        <v>39</v>
      </c>
      <c r="H16" s="28">
        <v>8</v>
      </c>
      <c r="I16" s="28" t="s">
        <v>39</v>
      </c>
      <c r="J16" s="28">
        <v>8</v>
      </c>
      <c r="K16" s="29" t="s">
        <v>39</v>
      </c>
      <c r="L16" s="29" t="s">
        <v>39</v>
      </c>
      <c r="M16" s="29" t="s">
        <v>39</v>
      </c>
      <c r="N16" s="29" t="s">
        <v>39</v>
      </c>
      <c r="O16" s="29" t="s">
        <v>39</v>
      </c>
      <c r="P16" s="30" t="s">
        <v>39</v>
      </c>
      <c r="Q16" s="30" t="s">
        <v>39</v>
      </c>
      <c r="R16" s="30">
        <v>628</v>
      </c>
      <c r="S16" s="30" t="s">
        <v>39</v>
      </c>
      <c r="T16" s="30">
        <v>628</v>
      </c>
      <c r="U16" s="31" t="s">
        <v>39</v>
      </c>
      <c r="V16" s="31" t="s">
        <v>39</v>
      </c>
      <c r="W16" s="31" t="s">
        <v>39</v>
      </c>
      <c r="X16" s="31" t="s">
        <v>39</v>
      </c>
      <c r="Y16" s="31" t="s">
        <v>39</v>
      </c>
      <c r="Z16" s="32" t="s">
        <v>39</v>
      </c>
      <c r="AA16" s="32" t="s">
        <v>39</v>
      </c>
      <c r="AB16" s="32">
        <v>28299.451000000001</v>
      </c>
      <c r="AC16" s="32" t="s">
        <v>39</v>
      </c>
      <c r="AD16" s="32">
        <v>28299.451000000001</v>
      </c>
      <c r="AE16" s="33" t="s">
        <v>39</v>
      </c>
      <c r="AF16" s="33" t="s">
        <v>39</v>
      </c>
      <c r="AG16" s="33" t="s">
        <v>39</v>
      </c>
      <c r="AH16" s="33" t="s">
        <v>39</v>
      </c>
      <c r="AI16" s="33" t="s">
        <v>39</v>
      </c>
      <c r="AJ16" s="34" t="s">
        <v>39</v>
      </c>
    </row>
    <row r="17" spans="1:36" ht="38.450000000000003" customHeight="1" x14ac:dyDescent="0.25">
      <c r="A17" s="25">
        <v>2021</v>
      </c>
      <c r="B17" s="26">
        <v>814</v>
      </c>
      <c r="C17" s="27" t="s">
        <v>64</v>
      </c>
      <c r="D17" s="27" t="s">
        <v>63</v>
      </c>
      <c r="E17" s="27" t="s">
        <v>49</v>
      </c>
      <c r="F17" s="28">
        <v>19655</v>
      </c>
      <c r="G17" s="28">
        <v>146</v>
      </c>
      <c r="H17" s="28">
        <v>1861</v>
      </c>
      <c r="I17" s="28" t="s">
        <v>39</v>
      </c>
      <c r="J17" s="28">
        <v>21662</v>
      </c>
      <c r="K17" s="29">
        <v>2169</v>
      </c>
      <c r="L17" s="29">
        <v>1047</v>
      </c>
      <c r="M17" s="29">
        <v>1767</v>
      </c>
      <c r="N17" s="29" t="s">
        <v>39</v>
      </c>
      <c r="O17" s="29">
        <v>4983</v>
      </c>
      <c r="P17" s="30">
        <v>21.2</v>
      </c>
      <c r="Q17" s="30" t="s">
        <v>39</v>
      </c>
      <c r="R17" s="30">
        <v>356.7</v>
      </c>
      <c r="S17" s="30" t="s">
        <v>39</v>
      </c>
      <c r="T17" s="30">
        <v>377.9</v>
      </c>
      <c r="U17" s="31">
        <v>21.2</v>
      </c>
      <c r="V17" s="31" t="s">
        <v>39</v>
      </c>
      <c r="W17" s="31">
        <v>22.3</v>
      </c>
      <c r="X17" s="31" t="s">
        <v>39</v>
      </c>
      <c r="Y17" s="31">
        <v>43.5</v>
      </c>
      <c r="Z17" s="32">
        <v>312</v>
      </c>
      <c r="AA17" s="32">
        <v>1183</v>
      </c>
      <c r="AB17" s="32">
        <v>434</v>
      </c>
      <c r="AC17" s="32" t="s">
        <v>39</v>
      </c>
      <c r="AD17" s="32">
        <v>1929</v>
      </c>
      <c r="AE17" s="33">
        <v>611</v>
      </c>
      <c r="AF17" s="33">
        <v>3430</v>
      </c>
      <c r="AG17" s="33">
        <v>3099</v>
      </c>
      <c r="AH17" s="33" t="s">
        <v>39</v>
      </c>
      <c r="AI17" s="33">
        <v>7140</v>
      </c>
      <c r="AJ17" s="34" t="s">
        <v>39</v>
      </c>
    </row>
    <row r="18" spans="1:36" ht="38.450000000000003" customHeight="1" x14ac:dyDescent="0.25">
      <c r="A18" s="25">
        <v>2021</v>
      </c>
      <c r="B18" s="26">
        <v>1009</v>
      </c>
      <c r="C18" s="27" t="s">
        <v>65</v>
      </c>
      <c r="D18" s="27" t="s">
        <v>48</v>
      </c>
      <c r="E18" s="27" t="s">
        <v>49</v>
      </c>
      <c r="F18" s="28">
        <v>6802</v>
      </c>
      <c r="G18" s="28">
        <v>2</v>
      </c>
      <c r="H18" s="28" t="s">
        <v>39</v>
      </c>
      <c r="I18" s="28" t="s">
        <v>39</v>
      </c>
      <c r="J18" s="28">
        <v>6804</v>
      </c>
      <c r="K18" s="29">
        <v>148</v>
      </c>
      <c r="L18" s="29">
        <v>1.2529999999999999</v>
      </c>
      <c r="M18" s="29" t="s">
        <v>39</v>
      </c>
      <c r="N18" s="29" t="s">
        <v>39</v>
      </c>
      <c r="O18" s="29">
        <v>149.25299999999999</v>
      </c>
      <c r="P18" s="30">
        <v>3.911</v>
      </c>
      <c r="Q18" s="30">
        <v>0.37</v>
      </c>
      <c r="R18" s="30" t="s">
        <v>39</v>
      </c>
      <c r="S18" s="30" t="s">
        <v>39</v>
      </c>
      <c r="T18" s="30">
        <v>4.2809999999999997</v>
      </c>
      <c r="U18" s="31">
        <v>3.911</v>
      </c>
      <c r="V18" s="31">
        <v>0.30099999999999999</v>
      </c>
      <c r="W18" s="31" t="s">
        <v>39</v>
      </c>
      <c r="X18" s="31" t="s">
        <v>39</v>
      </c>
      <c r="Y18" s="31">
        <v>4.2119999999999997</v>
      </c>
      <c r="Z18" s="32">
        <v>0</v>
      </c>
      <c r="AA18" s="32">
        <v>17.638000000000002</v>
      </c>
      <c r="AB18" s="32" t="s">
        <v>39</v>
      </c>
      <c r="AC18" s="32" t="s">
        <v>39</v>
      </c>
      <c r="AD18" s="32">
        <v>17.638000000000002</v>
      </c>
      <c r="AE18" s="33">
        <v>0</v>
      </c>
      <c r="AF18" s="33">
        <v>0</v>
      </c>
      <c r="AG18" s="33" t="s">
        <v>39</v>
      </c>
      <c r="AH18" s="33" t="s">
        <v>39</v>
      </c>
      <c r="AI18" s="33">
        <v>0</v>
      </c>
      <c r="AJ18" s="34" t="s">
        <v>39</v>
      </c>
    </row>
    <row r="19" spans="1:36" ht="26.1" customHeight="1" x14ac:dyDescent="0.25">
      <c r="A19" s="25">
        <v>2021</v>
      </c>
      <c r="B19" s="26">
        <v>1015</v>
      </c>
      <c r="C19" s="27" t="s">
        <v>66</v>
      </c>
      <c r="D19" s="27" t="s">
        <v>67</v>
      </c>
      <c r="E19" s="27" t="s">
        <v>68</v>
      </c>
      <c r="F19" s="28">
        <v>81591</v>
      </c>
      <c r="G19" s="28">
        <v>4393</v>
      </c>
      <c r="H19" s="28">
        <v>1464</v>
      </c>
      <c r="I19" s="28" t="s">
        <v>39</v>
      </c>
      <c r="J19" s="28">
        <v>87448</v>
      </c>
      <c r="K19" s="29">
        <v>621.495</v>
      </c>
      <c r="L19" s="29">
        <v>1234.579</v>
      </c>
      <c r="M19" s="29">
        <v>411.52600000000001</v>
      </c>
      <c r="N19" s="29" t="s">
        <v>39</v>
      </c>
      <c r="O19" s="29">
        <v>2267.6</v>
      </c>
      <c r="P19" s="30">
        <v>92.927000000000007</v>
      </c>
      <c r="Q19" s="30">
        <v>5.26</v>
      </c>
      <c r="R19" s="30">
        <v>1.7529999999999999</v>
      </c>
      <c r="S19" s="30" t="s">
        <v>39</v>
      </c>
      <c r="T19" s="30">
        <v>99.94</v>
      </c>
      <c r="U19" s="31">
        <v>43.776000000000003</v>
      </c>
      <c r="V19" s="31">
        <v>4.3470000000000004</v>
      </c>
      <c r="W19" s="31">
        <v>1.403</v>
      </c>
      <c r="X19" s="31" t="s">
        <v>39</v>
      </c>
      <c r="Y19" s="31">
        <v>49.526000000000003</v>
      </c>
      <c r="Z19" s="32">
        <v>1779.615</v>
      </c>
      <c r="AA19" s="32">
        <v>712.40499999999997</v>
      </c>
      <c r="AB19" s="32">
        <v>237.46799999999999</v>
      </c>
      <c r="AC19" s="32" t="s">
        <v>39</v>
      </c>
      <c r="AD19" s="32">
        <v>2729.4879999999998</v>
      </c>
      <c r="AE19" s="33">
        <v>606.24300000000005</v>
      </c>
      <c r="AF19" s="33">
        <v>465.82400000000001</v>
      </c>
      <c r="AG19" s="33">
        <v>155.27500000000001</v>
      </c>
      <c r="AH19" s="33" t="s">
        <v>39</v>
      </c>
      <c r="AI19" s="33">
        <v>1227.3420000000001</v>
      </c>
      <c r="AJ19" s="34">
        <v>1119</v>
      </c>
    </row>
    <row r="20" spans="1:36" ht="51" customHeight="1" x14ac:dyDescent="0.25">
      <c r="A20" s="25">
        <v>2021</v>
      </c>
      <c r="B20" s="26">
        <v>1167</v>
      </c>
      <c r="C20" s="27" t="s">
        <v>69</v>
      </c>
      <c r="D20" s="27" t="s">
        <v>70</v>
      </c>
      <c r="E20" s="27" t="s">
        <v>52</v>
      </c>
      <c r="F20" s="28">
        <v>851307</v>
      </c>
      <c r="G20" s="28" t="s">
        <v>39</v>
      </c>
      <c r="H20" s="28" t="s">
        <v>39</v>
      </c>
      <c r="I20" s="28" t="s">
        <v>39</v>
      </c>
      <c r="J20" s="28">
        <v>851307</v>
      </c>
      <c r="K20" s="29">
        <v>97.754999999999995</v>
      </c>
      <c r="L20" s="29" t="s">
        <v>39</v>
      </c>
      <c r="M20" s="29" t="s">
        <v>39</v>
      </c>
      <c r="N20" s="29" t="s">
        <v>39</v>
      </c>
      <c r="O20" s="29">
        <v>97.754999999999995</v>
      </c>
      <c r="P20" s="30">
        <v>341.41</v>
      </c>
      <c r="Q20" s="30" t="s">
        <v>39</v>
      </c>
      <c r="R20" s="30" t="s">
        <v>39</v>
      </c>
      <c r="S20" s="30" t="s">
        <v>39</v>
      </c>
      <c r="T20" s="30">
        <v>341.41</v>
      </c>
      <c r="U20" s="31">
        <v>0</v>
      </c>
      <c r="V20" s="31" t="s">
        <v>39</v>
      </c>
      <c r="W20" s="31" t="s">
        <v>39</v>
      </c>
      <c r="X20" s="31" t="s">
        <v>39</v>
      </c>
      <c r="Y20" s="31">
        <v>0</v>
      </c>
      <c r="Z20" s="32">
        <v>26094.674999999999</v>
      </c>
      <c r="AA20" s="32" t="s">
        <v>39</v>
      </c>
      <c r="AB20" s="32" t="s">
        <v>39</v>
      </c>
      <c r="AC20" s="32" t="s">
        <v>39</v>
      </c>
      <c r="AD20" s="32">
        <v>26094.674999999999</v>
      </c>
      <c r="AE20" s="33">
        <v>10031.227000000001</v>
      </c>
      <c r="AF20" s="33" t="s">
        <v>39</v>
      </c>
      <c r="AG20" s="33" t="s">
        <v>39</v>
      </c>
      <c r="AH20" s="33" t="s">
        <v>39</v>
      </c>
      <c r="AI20" s="33">
        <v>10031.227000000001</v>
      </c>
      <c r="AJ20" s="34" t="s">
        <v>39</v>
      </c>
    </row>
    <row r="21" spans="1:36" ht="38.450000000000003" customHeight="1" x14ac:dyDescent="0.25">
      <c r="A21" s="25">
        <v>2021</v>
      </c>
      <c r="B21" s="26">
        <v>1251</v>
      </c>
      <c r="C21" s="27" t="s">
        <v>71</v>
      </c>
      <c r="D21" s="27" t="s">
        <v>72</v>
      </c>
      <c r="E21" s="27" t="s">
        <v>49</v>
      </c>
      <c r="F21" s="28">
        <v>6211</v>
      </c>
      <c r="G21" s="28">
        <v>253</v>
      </c>
      <c r="H21" s="28">
        <v>0</v>
      </c>
      <c r="I21" s="28">
        <v>0</v>
      </c>
      <c r="J21" s="28">
        <v>6464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30">
        <v>6.7480000000000002</v>
      </c>
      <c r="Q21" s="30">
        <v>3.903</v>
      </c>
      <c r="R21" s="30">
        <v>0</v>
      </c>
      <c r="S21" s="30">
        <v>0</v>
      </c>
      <c r="T21" s="30">
        <v>10.651</v>
      </c>
      <c r="U21" s="31">
        <v>4.58</v>
      </c>
      <c r="V21" s="31">
        <v>2.649</v>
      </c>
      <c r="W21" s="31">
        <v>0</v>
      </c>
      <c r="X21" s="31">
        <v>0</v>
      </c>
      <c r="Y21" s="31">
        <v>7.2290000000000001</v>
      </c>
      <c r="Z21" s="32">
        <v>24</v>
      </c>
      <c r="AA21" s="32">
        <v>1</v>
      </c>
      <c r="AB21" s="32">
        <v>0</v>
      </c>
      <c r="AC21" s="32">
        <v>0</v>
      </c>
      <c r="AD21" s="32">
        <v>25</v>
      </c>
      <c r="AE21" s="33">
        <v>85</v>
      </c>
      <c r="AF21" s="33">
        <v>3</v>
      </c>
      <c r="AG21" s="33">
        <v>0</v>
      </c>
      <c r="AH21" s="33">
        <v>0</v>
      </c>
      <c r="AI21" s="33">
        <v>88</v>
      </c>
      <c r="AJ21" s="34">
        <v>9</v>
      </c>
    </row>
    <row r="22" spans="1:36" ht="38.450000000000003" customHeight="1" x14ac:dyDescent="0.25">
      <c r="A22" s="25">
        <v>2021</v>
      </c>
      <c r="B22" s="26">
        <v>1529</v>
      </c>
      <c r="C22" s="27" t="s">
        <v>73</v>
      </c>
      <c r="D22" s="27" t="s">
        <v>48</v>
      </c>
      <c r="E22" s="27" t="s">
        <v>49</v>
      </c>
      <c r="F22" s="28">
        <v>7376</v>
      </c>
      <c r="G22" s="28">
        <v>205</v>
      </c>
      <c r="H22" s="28" t="s">
        <v>39</v>
      </c>
      <c r="I22" s="28">
        <v>0</v>
      </c>
      <c r="J22" s="28">
        <v>7581</v>
      </c>
      <c r="K22" s="29">
        <v>2.1019999999999999</v>
      </c>
      <c r="L22" s="29">
        <v>60.84</v>
      </c>
      <c r="M22" s="29">
        <v>0</v>
      </c>
      <c r="N22" s="29">
        <v>0</v>
      </c>
      <c r="O22" s="29">
        <v>62.942</v>
      </c>
      <c r="P22" s="30">
        <v>219.96</v>
      </c>
      <c r="Q22" s="30">
        <v>6.36</v>
      </c>
      <c r="R22" s="30">
        <v>0</v>
      </c>
      <c r="S22" s="30">
        <v>0</v>
      </c>
      <c r="T22" s="30">
        <v>226.32</v>
      </c>
      <c r="U22" s="31">
        <v>28.59</v>
      </c>
      <c r="V22" s="31">
        <v>0.82</v>
      </c>
      <c r="W22" s="31">
        <v>0</v>
      </c>
      <c r="X22" s="31">
        <v>0</v>
      </c>
      <c r="Y22" s="31">
        <v>29.41</v>
      </c>
      <c r="Z22" s="32">
        <v>60.98</v>
      </c>
      <c r="AA22" s="32">
        <v>1.77</v>
      </c>
      <c r="AB22" s="32">
        <v>0</v>
      </c>
      <c r="AC22" s="32">
        <v>0</v>
      </c>
      <c r="AD22" s="32">
        <v>62.75</v>
      </c>
      <c r="AE22" s="33">
        <v>439.75</v>
      </c>
      <c r="AF22" s="33">
        <v>12.73</v>
      </c>
      <c r="AG22" s="33">
        <v>0</v>
      </c>
      <c r="AH22" s="33">
        <v>0</v>
      </c>
      <c r="AI22" s="33">
        <v>452.48</v>
      </c>
      <c r="AJ22" s="34">
        <v>0</v>
      </c>
    </row>
    <row r="23" spans="1:36" ht="38.450000000000003" customHeight="1" x14ac:dyDescent="0.25">
      <c r="A23" s="25">
        <v>2021</v>
      </c>
      <c r="B23" s="26">
        <v>1613</v>
      </c>
      <c r="C23" s="27" t="s">
        <v>74</v>
      </c>
      <c r="D23" s="27" t="s">
        <v>35</v>
      </c>
      <c r="E23" s="27" t="s">
        <v>35</v>
      </c>
      <c r="F23" s="28">
        <v>448</v>
      </c>
      <c r="G23" s="28" t="s">
        <v>39</v>
      </c>
      <c r="H23" s="28" t="s">
        <v>39</v>
      </c>
      <c r="I23" s="28" t="s">
        <v>39</v>
      </c>
      <c r="J23" s="28">
        <v>448</v>
      </c>
      <c r="K23" s="29">
        <v>19.375</v>
      </c>
      <c r="L23" s="29" t="s">
        <v>39</v>
      </c>
      <c r="M23" s="29" t="s">
        <v>39</v>
      </c>
      <c r="N23" s="29" t="s">
        <v>39</v>
      </c>
      <c r="O23" s="29">
        <v>19.375</v>
      </c>
      <c r="P23" s="30">
        <v>0.39800000000000002</v>
      </c>
      <c r="Q23" s="30" t="s">
        <v>39</v>
      </c>
      <c r="R23" s="30" t="s">
        <v>39</v>
      </c>
      <c r="S23" s="30" t="s">
        <v>39</v>
      </c>
      <c r="T23" s="30">
        <v>0.39800000000000002</v>
      </c>
      <c r="U23" s="31">
        <v>0.39800000000000002</v>
      </c>
      <c r="V23" s="31" t="s">
        <v>39</v>
      </c>
      <c r="W23" s="31" t="s">
        <v>39</v>
      </c>
      <c r="X23" s="31" t="s">
        <v>39</v>
      </c>
      <c r="Y23" s="31">
        <v>0.39800000000000002</v>
      </c>
      <c r="Z23" s="32">
        <v>86.65</v>
      </c>
      <c r="AA23" s="32" t="s">
        <v>39</v>
      </c>
      <c r="AB23" s="32" t="s">
        <v>39</v>
      </c>
      <c r="AC23" s="32" t="s">
        <v>39</v>
      </c>
      <c r="AD23" s="32">
        <v>86.65</v>
      </c>
      <c r="AE23" s="33">
        <v>27</v>
      </c>
      <c r="AF23" s="33" t="s">
        <v>39</v>
      </c>
      <c r="AG23" s="33" t="s">
        <v>39</v>
      </c>
      <c r="AH23" s="33" t="s">
        <v>39</v>
      </c>
      <c r="AI23" s="33">
        <v>27</v>
      </c>
      <c r="AJ23" s="34">
        <v>205</v>
      </c>
    </row>
    <row r="24" spans="1:36" ht="51" customHeight="1" x14ac:dyDescent="0.25">
      <c r="A24" s="25">
        <v>2021</v>
      </c>
      <c r="B24" s="26">
        <v>1769</v>
      </c>
      <c r="C24" s="27" t="s">
        <v>75</v>
      </c>
      <c r="D24" s="27" t="s">
        <v>76</v>
      </c>
      <c r="E24" s="27" t="s">
        <v>77</v>
      </c>
      <c r="F24" s="28">
        <v>495</v>
      </c>
      <c r="G24" s="28">
        <v>20</v>
      </c>
      <c r="H24" s="28">
        <v>0</v>
      </c>
      <c r="I24" s="28">
        <v>0</v>
      </c>
      <c r="J24" s="28">
        <v>515</v>
      </c>
      <c r="K24" s="29">
        <v>4.2640000000000002</v>
      </c>
      <c r="L24" s="29">
        <v>1</v>
      </c>
      <c r="M24" s="29">
        <v>0</v>
      </c>
      <c r="N24" s="29">
        <v>0</v>
      </c>
      <c r="O24" s="29">
        <v>5.2640000000000002</v>
      </c>
      <c r="P24" s="30">
        <v>1.0580000000000001</v>
      </c>
      <c r="Q24" s="30">
        <v>0.2</v>
      </c>
      <c r="R24" s="30">
        <v>0</v>
      </c>
      <c r="S24" s="30">
        <v>0</v>
      </c>
      <c r="T24" s="30">
        <v>1.258</v>
      </c>
      <c r="U24" s="31">
        <v>0.59299999999999997</v>
      </c>
      <c r="V24" s="31">
        <v>0.2</v>
      </c>
      <c r="W24" s="31">
        <v>0</v>
      </c>
      <c r="X24" s="31">
        <v>0</v>
      </c>
      <c r="Y24" s="31">
        <v>0.79300000000000004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3">
        <v>5.2</v>
      </c>
      <c r="AF24" s="33">
        <v>0.5</v>
      </c>
      <c r="AG24" s="33">
        <v>0</v>
      </c>
      <c r="AH24" s="33">
        <v>0</v>
      </c>
      <c r="AI24" s="33">
        <v>5.7</v>
      </c>
      <c r="AJ24" s="34">
        <v>19</v>
      </c>
    </row>
    <row r="25" spans="1:36" ht="75.95" customHeight="1" x14ac:dyDescent="0.25">
      <c r="A25" s="25">
        <v>2021</v>
      </c>
      <c r="B25" s="26">
        <v>1889</v>
      </c>
      <c r="C25" s="27" t="s">
        <v>78</v>
      </c>
      <c r="D25" s="27" t="s">
        <v>79</v>
      </c>
      <c r="E25" s="27" t="s">
        <v>80</v>
      </c>
      <c r="F25" s="28">
        <v>39416</v>
      </c>
      <c r="G25" s="28" t="s">
        <v>39</v>
      </c>
      <c r="H25" s="28" t="s">
        <v>39</v>
      </c>
      <c r="I25" s="28" t="s">
        <v>39</v>
      </c>
      <c r="J25" s="28">
        <v>39416</v>
      </c>
      <c r="K25" s="29">
        <v>2.3460000000000001</v>
      </c>
      <c r="L25" s="29" t="s">
        <v>39</v>
      </c>
      <c r="M25" s="29" t="s">
        <v>39</v>
      </c>
      <c r="N25" s="29" t="s">
        <v>39</v>
      </c>
      <c r="O25" s="29">
        <v>2.3460000000000001</v>
      </c>
      <c r="P25" s="30">
        <v>3.32</v>
      </c>
      <c r="Q25" s="30" t="s">
        <v>39</v>
      </c>
      <c r="R25" s="30" t="s">
        <v>39</v>
      </c>
      <c r="S25" s="30" t="s">
        <v>39</v>
      </c>
      <c r="T25" s="30">
        <v>3.32</v>
      </c>
      <c r="U25" s="31">
        <v>2.5979999999999999</v>
      </c>
      <c r="V25" s="31" t="s">
        <v>39</v>
      </c>
      <c r="W25" s="31" t="s">
        <v>39</v>
      </c>
      <c r="X25" s="31" t="s">
        <v>39</v>
      </c>
      <c r="Y25" s="31">
        <v>2.5979999999999999</v>
      </c>
      <c r="Z25" s="32">
        <v>23.872</v>
      </c>
      <c r="AA25" s="32" t="s">
        <v>39</v>
      </c>
      <c r="AB25" s="32" t="s">
        <v>39</v>
      </c>
      <c r="AC25" s="32" t="s">
        <v>39</v>
      </c>
      <c r="AD25" s="32">
        <v>23.872</v>
      </c>
      <c r="AE25" s="33" t="s">
        <v>39</v>
      </c>
      <c r="AF25" s="33" t="s">
        <v>39</v>
      </c>
      <c r="AG25" s="33" t="s">
        <v>39</v>
      </c>
      <c r="AH25" s="33" t="s">
        <v>39</v>
      </c>
      <c r="AI25" s="33" t="s">
        <v>39</v>
      </c>
      <c r="AJ25" s="34" t="s">
        <v>39</v>
      </c>
    </row>
    <row r="26" spans="1:36" ht="51" customHeight="1" x14ac:dyDescent="0.25">
      <c r="A26" s="25">
        <v>2021</v>
      </c>
      <c r="B26" s="26">
        <v>2212</v>
      </c>
      <c r="C26" s="27" t="s">
        <v>81</v>
      </c>
      <c r="D26" s="27" t="s">
        <v>79</v>
      </c>
      <c r="E26" s="27" t="s">
        <v>80</v>
      </c>
      <c r="F26" s="28">
        <v>15</v>
      </c>
      <c r="G26" s="28" t="s">
        <v>39</v>
      </c>
      <c r="H26" s="28" t="s">
        <v>39</v>
      </c>
      <c r="I26" s="28" t="s">
        <v>39</v>
      </c>
      <c r="J26" s="28">
        <v>15</v>
      </c>
      <c r="K26" s="29" t="s">
        <v>39</v>
      </c>
      <c r="L26" s="29" t="s">
        <v>39</v>
      </c>
      <c r="M26" s="29" t="s">
        <v>39</v>
      </c>
      <c r="N26" s="29" t="s">
        <v>39</v>
      </c>
      <c r="O26" s="29" t="s">
        <v>39</v>
      </c>
      <c r="P26" s="30">
        <v>1.6E-2</v>
      </c>
      <c r="Q26" s="30" t="s">
        <v>39</v>
      </c>
      <c r="R26" s="30" t="s">
        <v>39</v>
      </c>
      <c r="S26" s="30" t="s">
        <v>39</v>
      </c>
      <c r="T26" s="30">
        <v>1.6E-2</v>
      </c>
      <c r="U26" s="31">
        <v>1.6E-2</v>
      </c>
      <c r="V26" s="31" t="s">
        <v>39</v>
      </c>
      <c r="W26" s="31" t="s">
        <v>39</v>
      </c>
      <c r="X26" s="31" t="s">
        <v>39</v>
      </c>
      <c r="Y26" s="31">
        <v>1.6E-2</v>
      </c>
      <c r="Z26" s="32">
        <v>0.75</v>
      </c>
      <c r="AA26" s="32" t="s">
        <v>39</v>
      </c>
      <c r="AB26" s="32" t="s">
        <v>39</v>
      </c>
      <c r="AC26" s="32" t="s">
        <v>39</v>
      </c>
      <c r="AD26" s="32">
        <v>0.75</v>
      </c>
      <c r="AE26" s="33" t="s">
        <v>39</v>
      </c>
      <c r="AF26" s="33" t="s">
        <v>39</v>
      </c>
      <c r="AG26" s="33" t="s">
        <v>39</v>
      </c>
      <c r="AH26" s="33" t="s">
        <v>39</v>
      </c>
      <c r="AI26" s="33" t="s">
        <v>39</v>
      </c>
      <c r="AJ26" s="34" t="s">
        <v>39</v>
      </c>
    </row>
    <row r="27" spans="1:36" ht="51" customHeight="1" x14ac:dyDescent="0.25">
      <c r="A27" s="25">
        <v>2021</v>
      </c>
      <c r="B27" s="26">
        <v>2678</v>
      </c>
      <c r="C27" s="27" t="s">
        <v>82</v>
      </c>
      <c r="D27" s="27" t="s">
        <v>63</v>
      </c>
      <c r="E27" s="27" t="s">
        <v>49</v>
      </c>
      <c r="F27" s="28" t="s">
        <v>39</v>
      </c>
      <c r="G27" s="28">
        <v>29</v>
      </c>
      <c r="H27" s="28" t="s">
        <v>39</v>
      </c>
      <c r="I27" s="28" t="s">
        <v>39</v>
      </c>
      <c r="J27" s="28">
        <v>29</v>
      </c>
      <c r="K27" s="29" t="s">
        <v>39</v>
      </c>
      <c r="L27" s="29" t="s">
        <v>39</v>
      </c>
      <c r="M27" s="29" t="s">
        <v>39</v>
      </c>
      <c r="N27" s="29" t="s">
        <v>39</v>
      </c>
      <c r="O27" s="29" t="s">
        <v>39</v>
      </c>
      <c r="P27" s="30" t="s">
        <v>39</v>
      </c>
      <c r="Q27" s="30">
        <v>0.90500000000000003</v>
      </c>
      <c r="R27" s="30" t="s">
        <v>39</v>
      </c>
      <c r="S27" s="30" t="s">
        <v>39</v>
      </c>
      <c r="T27" s="30">
        <v>0.90500000000000003</v>
      </c>
      <c r="U27" s="31" t="s">
        <v>39</v>
      </c>
      <c r="V27" s="31">
        <v>0.47199999999999998</v>
      </c>
      <c r="W27" s="31" t="s">
        <v>39</v>
      </c>
      <c r="X27" s="31" t="s">
        <v>39</v>
      </c>
      <c r="Y27" s="31">
        <v>0.47199999999999998</v>
      </c>
      <c r="Z27" s="32" t="s">
        <v>39</v>
      </c>
      <c r="AA27" s="32">
        <v>10.369</v>
      </c>
      <c r="AB27" s="32" t="s">
        <v>39</v>
      </c>
      <c r="AC27" s="32" t="s">
        <v>39</v>
      </c>
      <c r="AD27" s="32">
        <v>10.369</v>
      </c>
      <c r="AE27" s="33" t="s">
        <v>39</v>
      </c>
      <c r="AF27" s="33" t="s">
        <v>39</v>
      </c>
      <c r="AG27" s="33" t="s">
        <v>39</v>
      </c>
      <c r="AH27" s="33" t="s">
        <v>39</v>
      </c>
      <c r="AI27" s="33" t="s">
        <v>39</v>
      </c>
      <c r="AJ27" s="34" t="s">
        <v>39</v>
      </c>
    </row>
    <row r="28" spans="1:36" ht="38.450000000000003" customHeight="1" x14ac:dyDescent="0.25">
      <c r="A28" s="25">
        <v>2021</v>
      </c>
      <c r="B28" s="26">
        <v>2985</v>
      </c>
      <c r="C28" s="27" t="s">
        <v>83</v>
      </c>
      <c r="D28" s="27" t="s">
        <v>84</v>
      </c>
      <c r="E28" s="27" t="s">
        <v>77</v>
      </c>
      <c r="F28" s="28">
        <v>7557</v>
      </c>
      <c r="G28" s="28">
        <v>10</v>
      </c>
      <c r="H28" s="28">
        <v>24</v>
      </c>
      <c r="I28" s="28" t="s">
        <v>39</v>
      </c>
      <c r="J28" s="28">
        <v>7591</v>
      </c>
      <c r="K28" s="29" t="s">
        <v>39</v>
      </c>
      <c r="L28" s="29" t="s">
        <v>39</v>
      </c>
      <c r="M28" s="29" t="s">
        <v>39</v>
      </c>
      <c r="N28" s="29" t="s">
        <v>39</v>
      </c>
      <c r="O28" s="29" t="s">
        <v>39</v>
      </c>
      <c r="P28" s="30">
        <v>13.933999999999999</v>
      </c>
      <c r="Q28" s="30">
        <v>5.7960000000000003</v>
      </c>
      <c r="R28" s="30">
        <v>6.133</v>
      </c>
      <c r="S28" s="30" t="s">
        <v>39</v>
      </c>
      <c r="T28" s="30">
        <v>25.863</v>
      </c>
      <c r="U28" s="31">
        <v>11.06</v>
      </c>
      <c r="V28" s="31">
        <v>5.7670000000000003</v>
      </c>
      <c r="W28" s="31">
        <v>6.133</v>
      </c>
      <c r="X28" s="31" t="s">
        <v>39</v>
      </c>
      <c r="Y28" s="31">
        <v>22.96</v>
      </c>
      <c r="Z28" s="32">
        <v>142.744</v>
      </c>
      <c r="AA28" s="32">
        <v>64.608000000000004</v>
      </c>
      <c r="AB28" s="32">
        <v>71.760000000000005</v>
      </c>
      <c r="AC28" s="32" t="s">
        <v>39</v>
      </c>
      <c r="AD28" s="32">
        <v>279.11200000000002</v>
      </c>
      <c r="AE28" s="33">
        <v>164.79</v>
      </c>
      <c r="AF28" s="33">
        <v>0.218</v>
      </c>
      <c r="AG28" s="33">
        <v>0.52300000000000002</v>
      </c>
      <c r="AH28" s="33" t="s">
        <v>39</v>
      </c>
      <c r="AI28" s="33">
        <v>165.53100000000001</v>
      </c>
      <c r="AJ28" s="34">
        <v>66</v>
      </c>
    </row>
    <row r="29" spans="1:36" ht="51" customHeight="1" x14ac:dyDescent="0.25">
      <c r="A29" s="25">
        <v>2021</v>
      </c>
      <c r="B29" s="26">
        <v>3046</v>
      </c>
      <c r="C29" s="27" t="s">
        <v>85</v>
      </c>
      <c r="D29" s="27" t="s">
        <v>79</v>
      </c>
      <c r="E29" s="27" t="s">
        <v>86</v>
      </c>
      <c r="F29" s="28">
        <v>198051</v>
      </c>
      <c r="G29" s="28">
        <v>2755</v>
      </c>
      <c r="H29" s="28" t="s">
        <v>39</v>
      </c>
      <c r="I29" s="28" t="s">
        <v>39</v>
      </c>
      <c r="J29" s="28">
        <v>200806</v>
      </c>
      <c r="K29" s="29" t="s">
        <v>39</v>
      </c>
      <c r="L29" s="29" t="s">
        <v>39</v>
      </c>
      <c r="M29" s="29" t="s">
        <v>39</v>
      </c>
      <c r="N29" s="29" t="s">
        <v>39</v>
      </c>
      <c r="O29" s="29" t="s">
        <v>39</v>
      </c>
      <c r="P29" s="30">
        <v>378.12799999999999</v>
      </c>
      <c r="Q29" s="30">
        <v>148.81299999999999</v>
      </c>
      <c r="R29" s="30" t="s">
        <v>39</v>
      </c>
      <c r="S29" s="30" t="s">
        <v>39</v>
      </c>
      <c r="T29" s="30">
        <v>526.94100000000003</v>
      </c>
      <c r="U29" s="31" t="s">
        <v>39</v>
      </c>
      <c r="V29" s="31" t="s">
        <v>39</v>
      </c>
      <c r="W29" s="31" t="s">
        <v>39</v>
      </c>
      <c r="X29" s="31" t="s">
        <v>39</v>
      </c>
      <c r="Y29" s="31" t="s">
        <v>39</v>
      </c>
      <c r="Z29" s="32">
        <v>5237.116</v>
      </c>
      <c r="AA29" s="32">
        <v>1982.7090000000001</v>
      </c>
      <c r="AB29" s="32" t="s">
        <v>39</v>
      </c>
      <c r="AC29" s="32" t="s">
        <v>39</v>
      </c>
      <c r="AD29" s="32">
        <v>7219.8249999999998</v>
      </c>
      <c r="AE29" s="33">
        <v>5855.9480000000003</v>
      </c>
      <c r="AF29" s="33">
        <v>157.25399999999999</v>
      </c>
      <c r="AG29" s="33" t="s">
        <v>39</v>
      </c>
      <c r="AH29" s="33" t="s">
        <v>39</v>
      </c>
      <c r="AI29" s="33">
        <v>6013.2020000000002</v>
      </c>
      <c r="AJ29" s="34" t="s">
        <v>39</v>
      </c>
    </row>
    <row r="30" spans="1:36" ht="51" customHeight="1" x14ac:dyDescent="0.25">
      <c r="A30" s="25">
        <v>2021</v>
      </c>
      <c r="B30" s="26">
        <v>3046</v>
      </c>
      <c r="C30" s="27" t="s">
        <v>85</v>
      </c>
      <c r="D30" s="27" t="s">
        <v>35</v>
      </c>
      <c r="E30" s="27" t="s">
        <v>86</v>
      </c>
      <c r="F30" s="28">
        <v>16579</v>
      </c>
      <c r="G30" s="28">
        <v>282</v>
      </c>
      <c r="H30" s="28" t="s">
        <v>39</v>
      </c>
      <c r="I30" s="28" t="s">
        <v>39</v>
      </c>
      <c r="J30" s="28">
        <v>16861</v>
      </c>
      <c r="K30" s="29" t="s">
        <v>39</v>
      </c>
      <c r="L30" s="29" t="s">
        <v>39</v>
      </c>
      <c r="M30" s="29" t="s">
        <v>39</v>
      </c>
      <c r="N30" s="29" t="s">
        <v>39</v>
      </c>
      <c r="O30" s="29" t="s">
        <v>39</v>
      </c>
      <c r="P30" s="30">
        <v>32.01</v>
      </c>
      <c r="Q30" s="30">
        <v>100.92</v>
      </c>
      <c r="R30" s="30" t="s">
        <v>39</v>
      </c>
      <c r="S30" s="30" t="s">
        <v>39</v>
      </c>
      <c r="T30" s="30">
        <v>132.93</v>
      </c>
      <c r="U30" s="31" t="s">
        <v>39</v>
      </c>
      <c r="V30" s="31" t="s">
        <v>39</v>
      </c>
      <c r="W30" s="31" t="s">
        <v>39</v>
      </c>
      <c r="X30" s="31" t="s">
        <v>39</v>
      </c>
      <c r="Y30" s="31" t="s">
        <v>39</v>
      </c>
      <c r="Z30" s="32">
        <v>758</v>
      </c>
      <c r="AA30" s="32">
        <v>287</v>
      </c>
      <c r="AB30" s="32" t="s">
        <v>39</v>
      </c>
      <c r="AC30" s="32" t="s">
        <v>39</v>
      </c>
      <c r="AD30" s="32">
        <v>1045</v>
      </c>
      <c r="AE30" s="33">
        <v>847</v>
      </c>
      <c r="AF30" s="33">
        <v>23</v>
      </c>
      <c r="AG30" s="33" t="s">
        <v>39</v>
      </c>
      <c r="AH30" s="33" t="s">
        <v>39</v>
      </c>
      <c r="AI30" s="33">
        <v>870</v>
      </c>
      <c r="AJ30" s="34" t="s">
        <v>39</v>
      </c>
    </row>
    <row r="31" spans="1:36" ht="51" customHeight="1" x14ac:dyDescent="0.25">
      <c r="A31" s="25">
        <v>2021</v>
      </c>
      <c r="B31" s="26">
        <v>3107</v>
      </c>
      <c r="C31" s="27" t="s">
        <v>87</v>
      </c>
      <c r="D31" s="27" t="s">
        <v>79</v>
      </c>
      <c r="E31" s="27" t="s">
        <v>86</v>
      </c>
      <c r="F31" s="28">
        <v>1435</v>
      </c>
      <c r="G31" s="28">
        <v>36</v>
      </c>
      <c r="H31" s="28" t="s">
        <v>39</v>
      </c>
      <c r="I31" s="28" t="s">
        <v>39</v>
      </c>
      <c r="J31" s="28">
        <v>1471</v>
      </c>
      <c r="K31" s="29">
        <v>820.07</v>
      </c>
      <c r="L31" s="29">
        <v>48</v>
      </c>
      <c r="M31" s="29" t="s">
        <v>39</v>
      </c>
      <c r="N31" s="29" t="s">
        <v>39</v>
      </c>
      <c r="O31" s="29">
        <v>868.07</v>
      </c>
      <c r="P31" s="30">
        <v>3.4000000000000002E-2</v>
      </c>
      <c r="Q31" s="30">
        <v>2.02</v>
      </c>
      <c r="R31" s="30" t="s">
        <v>39</v>
      </c>
      <c r="S31" s="30" t="s">
        <v>39</v>
      </c>
      <c r="T31" s="30">
        <v>2.0539999999999998</v>
      </c>
      <c r="U31" s="31">
        <v>3.4000000000000002E-2</v>
      </c>
      <c r="V31" s="31">
        <v>2.02</v>
      </c>
      <c r="W31" s="31" t="s">
        <v>39</v>
      </c>
      <c r="X31" s="31" t="s">
        <v>39</v>
      </c>
      <c r="Y31" s="31">
        <v>2.0539999999999998</v>
      </c>
      <c r="Z31" s="32">
        <v>0</v>
      </c>
      <c r="AA31" s="32">
        <v>64.944000000000003</v>
      </c>
      <c r="AB31" s="32" t="s">
        <v>39</v>
      </c>
      <c r="AC31" s="32" t="s">
        <v>39</v>
      </c>
      <c r="AD31" s="32">
        <v>64.944000000000003</v>
      </c>
      <c r="AE31" s="33">
        <v>0</v>
      </c>
      <c r="AF31" s="33">
        <v>3.24</v>
      </c>
      <c r="AG31" s="33" t="s">
        <v>39</v>
      </c>
      <c r="AH31" s="33" t="s">
        <v>39</v>
      </c>
      <c r="AI31" s="33">
        <v>3.24</v>
      </c>
      <c r="AJ31" s="34" t="s">
        <v>39</v>
      </c>
    </row>
    <row r="32" spans="1:36" ht="63.6" customHeight="1" x14ac:dyDescent="0.25">
      <c r="A32" s="25">
        <v>2021</v>
      </c>
      <c r="B32" s="26">
        <v>3205</v>
      </c>
      <c r="C32" s="27" t="s">
        <v>88</v>
      </c>
      <c r="D32" s="27" t="s">
        <v>89</v>
      </c>
      <c r="E32" s="27" t="s">
        <v>77</v>
      </c>
      <c r="F32" s="28" t="s">
        <v>39</v>
      </c>
      <c r="G32" s="28" t="s">
        <v>39</v>
      </c>
      <c r="H32" s="28">
        <v>734</v>
      </c>
      <c r="I32" s="28" t="s">
        <v>39</v>
      </c>
      <c r="J32" s="28">
        <v>734</v>
      </c>
      <c r="K32" s="29" t="s">
        <v>39</v>
      </c>
      <c r="L32" s="29" t="s">
        <v>39</v>
      </c>
      <c r="M32" s="29" t="s">
        <v>39</v>
      </c>
      <c r="N32" s="29" t="s">
        <v>39</v>
      </c>
      <c r="O32" s="29" t="s">
        <v>39</v>
      </c>
      <c r="P32" s="30" t="s">
        <v>39</v>
      </c>
      <c r="Q32" s="30" t="s">
        <v>39</v>
      </c>
      <c r="R32" s="30">
        <v>45.063000000000002</v>
      </c>
      <c r="S32" s="30" t="s">
        <v>39</v>
      </c>
      <c r="T32" s="30">
        <v>45.063000000000002</v>
      </c>
      <c r="U32" s="31" t="s">
        <v>39</v>
      </c>
      <c r="V32" s="31" t="s">
        <v>39</v>
      </c>
      <c r="W32" s="31">
        <v>23.356999999999999</v>
      </c>
      <c r="X32" s="31" t="s">
        <v>39</v>
      </c>
      <c r="Y32" s="31">
        <v>23.356999999999999</v>
      </c>
      <c r="Z32" s="32" t="s">
        <v>39</v>
      </c>
      <c r="AA32" s="32" t="s">
        <v>39</v>
      </c>
      <c r="AB32" s="32" t="s">
        <v>39</v>
      </c>
      <c r="AC32" s="32" t="s">
        <v>39</v>
      </c>
      <c r="AD32" s="32" t="s">
        <v>39</v>
      </c>
      <c r="AE32" s="33" t="s">
        <v>39</v>
      </c>
      <c r="AF32" s="33" t="s">
        <v>39</v>
      </c>
      <c r="AG32" s="33">
        <v>121.51900000000001</v>
      </c>
      <c r="AH32" s="33" t="s">
        <v>39</v>
      </c>
      <c r="AI32" s="33">
        <v>121.51900000000001</v>
      </c>
      <c r="AJ32" s="34" t="s">
        <v>39</v>
      </c>
    </row>
    <row r="33" spans="1:36" ht="51" customHeight="1" x14ac:dyDescent="0.25">
      <c r="A33" s="25">
        <v>2021</v>
      </c>
      <c r="B33" s="26">
        <v>3222</v>
      </c>
      <c r="C33" s="27" t="s">
        <v>90</v>
      </c>
      <c r="D33" s="27" t="s">
        <v>37</v>
      </c>
      <c r="E33" s="27" t="s">
        <v>38</v>
      </c>
      <c r="F33" s="28">
        <v>166</v>
      </c>
      <c r="G33" s="28" t="s">
        <v>39</v>
      </c>
      <c r="H33" s="28" t="s">
        <v>39</v>
      </c>
      <c r="I33" s="28" t="s">
        <v>39</v>
      </c>
      <c r="J33" s="28">
        <v>166</v>
      </c>
      <c r="K33" s="29">
        <v>136.97200000000001</v>
      </c>
      <c r="L33" s="29" t="s">
        <v>39</v>
      </c>
      <c r="M33" s="29" t="s">
        <v>39</v>
      </c>
      <c r="N33" s="29" t="s">
        <v>39</v>
      </c>
      <c r="O33" s="29">
        <v>136.97200000000001</v>
      </c>
      <c r="P33" s="30">
        <v>0.27800000000000002</v>
      </c>
      <c r="Q33" s="30" t="s">
        <v>39</v>
      </c>
      <c r="R33" s="30" t="s">
        <v>39</v>
      </c>
      <c r="S33" s="30" t="s">
        <v>39</v>
      </c>
      <c r="T33" s="30">
        <v>0.27800000000000002</v>
      </c>
      <c r="U33" s="31">
        <v>0.27800000000000002</v>
      </c>
      <c r="V33" s="31" t="s">
        <v>39</v>
      </c>
      <c r="W33" s="31" t="s">
        <v>39</v>
      </c>
      <c r="X33" s="31" t="s">
        <v>39</v>
      </c>
      <c r="Y33" s="31">
        <v>0.27800000000000002</v>
      </c>
      <c r="Z33" s="32" t="s">
        <v>39</v>
      </c>
      <c r="AA33" s="32" t="s">
        <v>39</v>
      </c>
      <c r="AB33" s="32" t="s">
        <v>39</v>
      </c>
      <c r="AC33" s="32" t="s">
        <v>39</v>
      </c>
      <c r="AD33" s="32" t="s">
        <v>39</v>
      </c>
      <c r="AE33" s="33">
        <v>17</v>
      </c>
      <c r="AF33" s="33" t="s">
        <v>39</v>
      </c>
      <c r="AG33" s="33" t="s">
        <v>39</v>
      </c>
      <c r="AH33" s="33" t="s">
        <v>39</v>
      </c>
      <c r="AI33" s="33">
        <v>17</v>
      </c>
      <c r="AJ33" s="34" t="s">
        <v>39</v>
      </c>
    </row>
    <row r="34" spans="1:36" ht="63.6" customHeight="1" x14ac:dyDescent="0.25">
      <c r="A34" s="25">
        <v>2021</v>
      </c>
      <c r="B34" s="26">
        <v>3248</v>
      </c>
      <c r="C34" s="27" t="s">
        <v>91</v>
      </c>
      <c r="D34" s="27" t="s">
        <v>54</v>
      </c>
      <c r="E34" s="27" t="s">
        <v>38</v>
      </c>
      <c r="F34" s="28">
        <v>3339</v>
      </c>
      <c r="G34" s="28" t="s">
        <v>39</v>
      </c>
      <c r="H34" s="28" t="s">
        <v>39</v>
      </c>
      <c r="I34" s="28" t="s">
        <v>39</v>
      </c>
      <c r="J34" s="28">
        <v>3339</v>
      </c>
      <c r="K34" s="29">
        <v>188</v>
      </c>
      <c r="L34" s="29" t="s">
        <v>39</v>
      </c>
      <c r="M34" s="29" t="s">
        <v>39</v>
      </c>
      <c r="N34" s="29" t="s">
        <v>39</v>
      </c>
      <c r="O34" s="29">
        <v>188</v>
      </c>
      <c r="P34" s="30">
        <v>7</v>
      </c>
      <c r="Q34" s="30" t="s">
        <v>39</v>
      </c>
      <c r="R34" s="30" t="s">
        <v>39</v>
      </c>
      <c r="S34" s="30" t="s">
        <v>39</v>
      </c>
      <c r="T34" s="30">
        <v>7</v>
      </c>
      <c r="U34" s="31">
        <v>4</v>
      </c>
      <c r="V34" s="31" t="s">
        <v>39</v>
      </c>
      <c r="W34" s="31" t="s">
        <v>39</v>
      </c>
      <c r="X34" s="31" t="s">
        <v>39</v>
      </c>
      <c r="Y34" s="31">
        <v>4</v>
      </c>
      <c r="Z34" s="32">
        <v>73</v>
      </c>
      <c r="AA34" s="32" t="s">
        <v>39</v>
      </c>
      <c r="AB34" s="32" t="s">
        <v>39</v>
      </c>
      <c r="AC34" s="32" t="s">
        <v>39</v>
      </c>
      <c r="AD34" s="32">
        <v>73</v>
      </c>
      <c r="AE34" s="33">
        <v>133</v>
      </c>
      <c r="AF34" s="33" t="s">
        <v>39</v>
      </c>
      <c r="AG34" s="33" t="s">
        <v>39</v>
      </c>
      <c r="AH34" s="33" t="s">
        <v>39</v>
      </c>
      <c r="AI34" s="33">
        <v>133</v>
      </c>
      <c r="AJ34" s="34">
        <v>529</v>
      </c>
    </row>
    <row r="35" spans="1:36" ht="63.6" customHeight="1" x14ac:dyDescent="0.25">
      <c r="A35" s="25">
        <v>2021</v>
      </c>
      <c r="B35" s="26">
        <v>3249</v>
      </c>
      <c r="C35" s="27" t="s">
        <v>92</v>
      </c>
      <c r="D35" s="27" t="s">
        <v>93</v>
      </c>
      <c r="E35" s="27" t="s">
        <v>94</v>
      </c>
      <c r="F35" s="28">
        <v>3901</v>
      </c>
      <c r="G35" s="28">
        <v>10</v>
      </c>
      <c r="H35" s="28">
        <v>4</v>
      </c>
      <c r="I35" s="28" t="s">
        <v>39</v>
      </c>
      <c r="J35" s="28">
        <v>3915</v>
      </c>
      <c r="K35" s="29">
        <v>17.204000000000001</v>
      </c>
      <c r="L35" s="29">
        <v>1.0840000000000001</v>
      </c>
      <c r="M35" s="29">
        <v>3.0649999999999999</v>
      </c>
      <c r="N35" s="29" t="s">
        <v>39</v>
      </c>
      <c r="O35" s="29">
        <v>21.353000000000002</v>
      </c>
      <c r="P35" s="30">
        <v>4.3010000000000002</v>
      </c>
      <c r="Q35" s="30">
        <v>1.0840000000000001</v>
      </c>
      <c r="R35" s="30">
        <v>3.0649999999999999</v>
      </c>
      <c r="S35" s="30" t="s">
        <v>39</v>
      </c>
      <c r="T35" s="30">
        <v>8.4499999999999993</v>
      </c>
      <c r="U35" s="31">
        <v>4.3010000000000002</v>
      </c>
      <c r="V35" s="31">
        <v>1.0840000000000001</v>
      </c>
      <c r="W35" s="31">
        <v>3.0649999999999999</v>
      </c>
      <c r="X35" s="31" t="s">
        <v>39</v>
      </c>
      <c r="Y35" s="31">
        <v>8.4499999999999993</v>
      </c>
      <c r="Z35" s="32" t="s">
        <v>39</v>
      </c>
      <c r="AA35" s="32" t="s">
        <v>39</v>
      </c>
      <c r="AB35" s="32" t="s">
        <v>39</v>
      </c>
      <c r="AC35" s="32" t="s">
        <v>39</v>
      </c>
      <c r="AD35" s="32" t="s">
        <v>39</v>
      </c>
      <c r="AE35" s="33" t="s">
        <v>39</v>
      </c>
      <c r="AF35" s="33" t="s">
        <v>39</v>
      </c>
      <c r="AG35" s="33" t="s">
        <v>39</v>
      </c>
      <c r="AH35" s="33" t="s">
        <v>39</v>
      </c>
      <c r="AI35" s="33" t="s">
        <v>39</v>
      </c>
      <c r="AJ35" s="34" t="s">
        <v>39</v>
      </c>
    </row>
    <row r="36" spans="1:36" ht="51" customHeight="1" x14ac:dyDescent="0.25">
      <c r="A36" s="25">
        <v>2021</v>
      </c>
      <c r="B36" s="26">
        <v>3278</v>
      </c>
      <c r="C36" s="27" t="s">
        <v>95</v>
      </c>
      <c r="D36" s="27" t="s">
        <v>67</v>
      </c>
      <c r="E36" s="27" t="s">
        <v>68</v>
      </c>
      <c r="F36" s="28">
        <v>0</v>
      </c>
      <c r="G36" s="28">
        <v>68</v>
      </c>
      <c r="H36" s="28">
        <v>0</v>
      </c>
      <c r="I36" s="28">
        <v>0</v>
      </c>
      <c r="J36" s="28">
        <v>68</v>
      </c>
      <c r="K36" s="29">
        <v>0</v>
      </c>
      <c r="L36" s="29">
        <v>19</v>
      </c>
      <c r="M36" s="29">
        <v>0</v>
      </c>
      <c r="N36" s="29">
        <v>0</v>
      </c>
      <c r="O36" s="29">
        <v>19</v>
      </c>
      <c r="P36" s="30">
        <v>0</v>
      </c>
      <c r="Q36" s="30">
        <v>28.4</v>
      </c>
      <c r="R36" s="30">
        <v>0</v>
      </c>
      <c r="S36" s="30">
        <v>0</v>
      </c>
      <c r="T36" s="30">
        <v>28.4</v>
      </c>
      <c r="U36" s="31">
        <v>0</v>
      </c>
      <c r="V36" s="31">
        <v>19.399999999999999</v>
      </c>
      <c r="W36" s="31">
        <v>0</v>
      </c>
      <c r="X36" s="31">
        <v>0</v>
      </c>
      <c r="Y36" s="31">
        <v>19.399999999999999</v>
      </c>
      <c r="Z36" s="32">
        <v>0</v>
      </c>
      <c r="AA36" s="32">
        <v>500</v>
      </c>
      <c r="AB36" s="32">
        <v>0</v>
      </c>
      <c r="AC36" s="32">
        <v>0</v>
      </c>
      <c r="AD36" s="32">
        <v>500</v>
      </c>
      <c r="AE36" s="33">
        <v>0</v>
      </c>
      <c r="AF36" s="33">
        <v>54</v>
      </c>
      <c r="AG36" s="33">
        <v>0</v>
      </c>
      <c r="AH36" s="33">
        <v>0</v>
      </c>
      <c r="AI36" s="33">
        <v>54</v>
      </c>
      <c r="AJ36" s="34" t="s">
        <v>39</v>
      </c>
    </row>
    <row r="37" spans="1:36" ht="51" customHeight="1" x14ac:dyDescent="0.25">
      <c r="A37" s="25">
        <v>2021</v>
      </c>
      <c r="B37" s="26">
        <v>3279</v>
      </c>
      <c r="C37" s="27" t="s">
        <v>96</v>
      </c>
      <c r="D37" s="27" t="s">
        <v>84</v>
      </c>
      <c r="E37" s="27" t="s">
        <v>77</v>
      </c>
      <c r="F37" s="28" t="s">
        <v>39</v>
      </c>
      <c r="G37" s="28" t="s">
        <v>39</v>
      </c>
      <c r="H37" s="28" t="s">
        <v>39</v>
      </c>
      <c r="I37" s="28" t="s">
        <v>39</v>
      </c>
      <c r="J37" s="28" t="s">
        <v>39</v>
      </c>
      <c r="K37" s="29">
        <v>2838</v>
      </c>
      <c r="L37" s="29">
        <v>560.6</v>
      </c>
      <c r="M37" s="29" t="s">
        <v>39</v>
      </c>
      <c r="N37" s="29" t="s">
        <v>39</v>
      </c>
      <c r="O37" s="29">
        <v>3398.6</v>
      </c>
      <c r="P37" s="30">
        <v>13.38</v>
      </c>
      <c r="Q37" s="30">
        <v>1.3720000000000001</v>
      </c>
      <c r="R37" s="30" t="s">
        <v>39</v>
      </c>
      <c r="S37" s="30" t="s">
        <v>39</v>
      </c>
      <c r="T37" s="30">
        <v>14.752000000000001</v>
      </c>
      <c r="U37" s="31">
        <v>13.38</v>
      </c>
      <c r="V37" s="31">
        <v>1.3720000000000001</v>
      </c>
      <c r="W37" s="31" t="s">
        <v>39</v>
      </c>
      <c r="X37" s="31" t="s">
        <v>39</v>
      </c>
      <c r="Y37" s="31">
        <v>14.752000000000001</v>
      </c>
      <c r="Z37" s="32">
        <v>284.08499999999998</v>
      </c>
      <c r="AA37" s="32">
        <v>366.37900000000002</v>
      </c>
      <c r="AB37" s="32">
        <v>28.882999999999999</v>
      </c>
      <c r="AC37" s="32" t="s">
        <v>39</v>
      </c>
      <c r="AD37" s="32">
        <v>679.34699999999998</v>
      </c>
      <c r="AE37" s="33" t="s">
        <v>39</v>
      </c>
      <c r="AF37" s="33" t="s">
        <v>39</v>
      </c>
      <c r="AG37" s="33" t="s">
        <v>39</v>
      </c>
      <c r="AH37" s="33" t="s">
        <v>39</v>
      </c>
      <c r="AI37" s="33" t="s">
        <v>39</v>
      </c>
      <c r="AJ37" s="34" t="s">
        <v>39</v>
      </c>
    </row>
    <row r="38" spans="1:36" ht="51" customHeight="1" x14ac:dyDescent="0.25">
      <c r="A38" s="25">
        <v>2021</v>
      </c>
      <c r="B38" s="26">
        <v>3502</v>
      </c>
      <c r="C38" s="27" t="s">
        <v>97</v>
      </c>
      <c r="D38" s="27" t="s">
        <v>98</v>
      </c>
      <c r="E38" s="27" t="s">
        <v>38</v>
      </c>
      <c r="F38" s="28">
        <v>52926</v>
      </c>
      <c r="G38" s="28">
        <v>7662</v>
      </c>
      <c r="H38" s="28">
        <v>0</v>
      </c>
      <c r="I38" s="28">
        <v>0</v>
      </c>
      <c r="J38" s="28">
        <v>60588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30">
        <v>40.28</v>
      </c>
      <c r="Q38" s="30">
        <v>5.85</v>
      </c>
      <c r="R38" s="30">
        <v>0</v>
      </c>
      <c r="S38" s="30">
        <v>0</v>
      </c>
      <c r="T38" s="30">
        <v>46.13</v>
      </c>
      <c r="U38" s="31">
        <v>40.28</v>
      </c>
      <c r="V38" s="31">
        <v>5.85</v>
      </c>
      <c r="W38" s="31">
        <v>0</v>
      </c>
      <c r="X38" s="31">
        <v>0</v>
      </c>
      <c r="Y38" s="31">
        <v>46.13</v>
      </c>
      <c r="Z38" s="32">
        <v>23.18</v>
      </c>
      <c r="AA38" s="32">
        <v>0</v>
      </c>
      <c r="AB38" s="32">
        <v>0</v>
      </c>
      <c r="AC38" s="32">
        <v>0</v>
      </c>
      <c r="AD38" s="32">
        <v>23.18</v>
      </c>
      <c r="AE38" s="33">
        <v>5.8</v>
      </c>
      <c r="AF38" s="33">
        <v>0.2</v>
      </c>
      <c r="AG38" s="33">
        <v>0</v>
      </c>
      <c r="AH38" s="33">
        <v>0</v>
      </c>
      <c r="AI38" s="33">
        <v>6</v>
      </c>
      <c r="AJ38" s="34" t="s">
        <v>39</v>
      </c>
    </row>
    <row r="39" spans="1:36" ht="51" customHeight="1" x14ac:dyDescent="0.25">
      <c r="A39" s="25">
        <v>2021</v>
      </c>
      <c r="B39" s="26">
        <v>3503</v>
      </c>
      <c r="C39" s="27" t="s">
        <v>99</v>
      </c>
      <c r="D39" s="27" t="s">
        <v>70</v>
      </c>
      <c r="E39" s="27" t="s">
        <v>52</v>
      </c>
      <c r="F39" s="28">
        <v>0</v>
      </c>
      <c r="G39" s="28">
        <v>187</v>
      </c>
      <c r="H39" s="28">
        <v>8</v>
      </c>
      <c r="I39" s="28">
        <v>0</v>
      </c>
      <c r="J39" s="28">
        <v>195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30">
        <v>0</v>
      </c>
      <c r="Q39" s="30">
        <v>3.9260000000000002</v>
      </c>
      <c r="R39" s="30">
        <v>8.7530000000000001</v>
      </c>
      <c r="S39" s="30">
        <v>0</v>
      </c>
      <c r="T39" s="30">
        <v>12.679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2" t="s">
        <v>39</v>
      </c>
      <c r="AA39" s="32" t="s">
        <v>39</v>
      </c>
      <c r="AB39" s="32" t="s">
        <v>39</v>
      </c>
      <c r="AC39" s="32" t="s">
        <v>39</v>
      </c>
      <c r="AD39" s="32" t="s">
        <v>39</v>
      </c>
      <c r="AE39" s="33" t="s">
        <v>39</v>
      </c>
      <c r="AF39" s="33">
        <v>0.77</v>
      </c>
      <c r="AG39" s="33">
        <v>0.03</v>
      </c>
      <c r="AH39" s="33" t="s">
        <v>39</v>
      </c>
      <c r="AI39" s="33">
        <v>0.8</v>
      </c>
      <c r="AJ39" s="34" t="s">
        <v>39</v>
      </c>
    </row>
    <row r="40" spans="1:36" ht="38.450000000000003" customHeight="1" x14ac:dyDescent="0.25">
      <c r="A40" s="25">
        <v>2021</v>
      </c>
      <c r="B40" s="26">
        <v>3755</v>
      </c>
      <c r="C40" s="27" t="s">
        <v>100</v>
      </c>
      <c r="D40" s="27" t="s">
        <v>101</v>
      </c>
      <c r="E40" s="27" t="s">
        <v>52</v>
      </c>
      <c r="F40" s="28">
        <v>0</v>
      </c>
      <c r="G40" s="28">
        <v>0</v>
      </c>
      <c r="H40" s="28">
        <v>4</v>
      </c>
      <c r="I40" s="28">
        <v>0</v>
      </c>
      <c r="J40" s="28">
        <v>4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30">
        <v>0</v>
      </c>
      <c r="Q40" s="30">
        <v>0</v>
      </c>
      <c r="R40" s="30">
        <v>189.72200000000001</v>
      </c>
      <c r="S40" s="30">
        <v>0</v>
      </c>
      <c r="T40" s="30">
        <v>189.72200000000001</v>
      </c>
      <c r="U40" s="31">
        <v>0</v>
      </c>
      <c r="V40" s="31">
        <v>0</v>
      </c>
      <c r="W40" s="31">
        <v>189.72200000000001</v>
      </c>
      <c r="X40" s="31">
        <v>0</v>
      </c>
      <c r="Y40" s="31">
        <v>189.72200000000001</v>
      </c>
      <c r="Z40" s="32">
        <v>0</v>
      </c>
      <c r="AA40" s="32">
        <v>0</v>
      </c>
      <c r="AB40" s="32">
        <v>8356.1589999999997</v>
      </c>
      <c r="AC40" s="32">
        <v>0</v>
      </c>
      <c r="AD40" s="32">
        <v>8356.1589999999997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4" t="s">
        <v>39</v>
      </c>
    </row>
    <row r="41" spans="1:36" ht="51" customHeight="1" x14ac:dyDescent="0.25">
      <c r="A41" s="25">
        <v>2021</v>
      </c>
      <c r="B41" s="26">
        <v>3757</v>
      </c>
      <c r="C41" s="27" t="s">
        <v>102</v>
      </c>
      <c r="D41" s="27" t="s">
        <v>98</v>
      </c>
      <c r="E41" s="27" t="s">
        <v>103</v>
      </c>
      <c r="F41" s="28" t="s">
        <v>39</v>
      </c>
      <c r="G41" s="28">
        <v>7</v>
      </c>
      <c r="H41" s="28" t="s">
        <v>39</v>
      </c>
      <c r="I41" s="28" t="s">
        <v>39</v>
      </c>
      <c r="J41" s="28">
        <v>7</v>
      </c>
      <c r="K41" s="29" t="s">
        <v>39</v>
      </c>
      <c r="L41" s="29" t="s">
        <v>39</v>
      </c>
      <c r="M41" s="29" t="s">
        <v>39</v>
      </c>
      <c r="N41" s="29" t="s">
        <v>39</v>
      </c>
      <c r="O41" s="29" t="s">
        <v>39</v>
      </c>
      <c r="P41" s="30" t="s">
        <v>39</v>
      </c>
      <c r="Q41" s="30">
        <v>18.274999999999999</v>
      </c>
      <c r="R41" s="30" t="s">
        <v>39</v>
      </c>
      <c r="S41" s="30" t="s">
        <v>39</v>
      </c>
      <c r="T41" s="30">
        <v>18.274999999999999</v>
      </c>
      <c r="U41" s="31" t="s">
        <v>39</v>
      </c>
      <c r="V41" s="31">
        <v>18.274999999999999</v>
      </c>
      <c r="W41" s="31" t="s">
        <v>39</v>
      </c>
      <c r="X41" s="31" t="s">
        <v>39</v>
      </c>
      <c r="Y41" s="31">
        <v>18.274999999999999</v>
      </c>
      <c r="Z41" s="32" t="s">
        <v>39</v>
      </c>
      <c r="AA41" s="32">
        <v>200</v>
      </c>
      <c r="AB41" s="32" t="s">
        <v>39</v>
      </c>
      <c r="AC41" s="32" t="s">
        <v>39</v>
      </c>
      <c r="AD41" s="32">
        <v>200</v>
      </c>
      <c r="AE41" s="33" t="s">
        <v>39</v>
      </c>
      <c r="AF41" s="33">
        <v>260</v>
      </c>
      <c r="AG41" s="33" t="s">
        <v>39</v>
      </c>
      <c r="AH41" s="33" t="s">
        <v>39</v>
      </c>
      <c r="AI41" s="33">
        <v>260</v>
      </c>
      <c r="AJ41" s="34" t="s">
        <v>39</v>
      </c>
    </row>
    <row r="42" spans="1:36" ht="51" customHeight="1" x14ac:dyDescent="0.25">
      <c r="A42" s="25">
        <v>2021</v>
      </c>
      <c r="B42" s="26">
        <v>3931</v>
      </c>
      <c r="C42" s="27" t="s">
        <v>104</v>
      </c>
      <c r="D42" s="27" t="s">
        <v>105</v>
      </c>
      <c r="E42" s="27" t="s">
        <v>49</v>
      </c>
      <c r="F42" s="28">
        <v>4323</v>
      </c>
      <c r="G42" s="28">
        <v>146</v>
      </c>
      <c r="H42" s="28">
        <v>6</v>
      </c>
      <c r="I42" s="28" t="s">
        <v>39</v>
      </c>
      <c r="J42" s="28">
        <v>4475</v>
      </c>
      <c r="K42" s="29" t="s">
        <v>39</v>
      </c>
      <c r="L42" s="29" t="s">
        <v>39</v>
      </c>
      <c r="M42" s="29" t="s">
        <v>39</v>
      </c>
      <c r="N42" s="29" t="s">
        <v>39</v>
      </c>
      <c r="O42" s="29" t="s">
        <v>39</v>
      </c>
      <c r="P42" s="30">
        <v>3</v>
      </c>
      <c r="Q42" s="30">
        <v>8</v>
      </c>
      <c r="R42" s="30">
        <v>3</v>
      </c>
      <c r="S42" s="30" t="s">
        <v>39</v>
      </c>
      <c r="T42" s="30">
        <v>14</v>
      </c>
      <c r="U42" s="31" t="s">
        <v>39</v>
      </c>
      <c r="V42" s="31" t="s">
        <v>39</v>
      </c>
      <c r="W42" s="31" t="s">
        <v>39</v>
      </c>
      <c r="X42" s="31" t="s">
        <v>39</v>
      </c>
      <c r="Y42" s="31" t="s">
        <v>39</v>
      </c>
      <c r="Z42" s="32" t="s">
        <v>39</v>
      </c>
      <c r="AA42" s="32" t="s">
        <v>39</v>
      </c>
      <c r="AB42" s="32" t="s">
        <v>39</v>
      </c>
      <c r="AC42" s="32" t="s">
        <v>39</v>
      </c>
      <c r="AD42" s="32" t="s">
        <v>39</v>
      </c>
      <c r="AE42" s="33" t="s">
        <v>39</v>
      </c>
      <c r="AF42" s="33" t="s">
        <v>39</v>
      </c>
      <c r="AG42" s="33" t="s">
        <v>39</v>
      </c>
      <c r="AH42" s="33" t="s">
        <v>39</v>
      </c>
      <c r="AI42" s="33" t="s">
        <v>39</v>
      </c>
      <c r="AJ42" s="34" t="s">
        <v>39</v>
      </c>
    </row>
    <row r="43" spans="1:36" ht="51" customHeight="1" x14ac:dyDescent="0.25">
      <c r="A43" s="25">
        <v>2021</v>
      </c>
      <c r="B43" s="26">
        <v>3989</v>
      </c>
      <c r="C43" s="27" t="s">
        <v>106</v>
      </c>
      <c r="D43" s="27" t="s">
        <v>107</v>
      </c>
      <c r="E43" s="27" t="s">
        <v>108</v>
      </c>
      <c r="F43" s="28">
        <v>0</v>
      </c>
      <c r="G43" s="28">
        <v>0</v>
      </c>
      <c r="H43" s="28">
        <v>1</v>
      </c>
      <c r="I43" s="28">
        <v>0</v>
      </c>
      <c r="J43" s="28">
        <v>1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30">
        <v>0</v>
      </c>
      <c r="Q43" s="30">
        <v>0</v>
      </c>
      <c r="R43" s="30">
        <v>13.3</v>
      </c>
      <c r="S43" s="30">
        <v>0</v>
      </c>
      <c r="T43" s="30">
        <v>13.3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2">
        <v>0</v>
      </c>
      <c r="AA43" s="32">
        <v>0</v>
      </c>
      <c r="AB43" s="32">
        <v>1802.1189999999999</v>
      </c>
      <c r="AC43" s="32">
        <v>0</v>
      </c>
      <c r="AD43" s="32">
        <v>1802.1189999999999</v>
      </c>
      <c r="AE43" s="33">
        <v>0</v>
      </c>
      <c r="AF43" s="33">
        <v>0</v>
      </c>
      <c r="AG43" s="33">
        <v>0</v>
      </c>
      <c r="AH43" s="33">
        <v>0</v>
      </c>
      <c r="AI43" s="33">
        <v>0</v>
      </c>
      <c r="AJ43" s="34" t="s">
        <v>39</v>
      </c>
    </row>
    <row r="44" spans="1:36" ht="38.450000000000003" customHeight="1" x14ac:dyDescent="0.25">
      <c r="A44" s="25">
        <v>2021</v>
      </c>
      <c r="B44" s="26">
        <v>4065</v>
      </c>
      <c r="C44" s="27" t="s">
        <v>109</v>
      </c>
      <c r="D44" s="27" t="s">
        <v>101</v>
      </c>
      <c r="E44" s="27" t="s">
        <v>52</v>
      </c>
      <c r="F44" s="28" t="s">
        <v>39</v>
      </c>
      <c r="G44" s="28" t="s">
        <v>39</v>
      </c>
      <c r="H44" s="28">
        <v>11</v>
      </c>
      <c r="I44" s="28" t="s">
        <v>39</v>
      </c>
      <c r="J44" s="28">
        <v>11</v>
      </c>
      <c r="K44" s="29" t="s">
        <v>39</v>
      </c>
      <c r="L44" s="29" t="s">
        <v>39</v>
      </c>
      <c r="M44" s="29" t="s">
        <v>39</v>
      </c>
      <c r="N44" s="29" t="s">
        <v>39</v>
      </c>
      <c r="O44" s="29" t="s">
        <v>39</v>
      </c>
      <c r="P44" s="30" t="s">
        <v>39</v>
      </c>
      <c r="Q44" s="30" t="s">
        <v>39</v>
      </c>
      <c r="R44" s="30">
        <v>16.600000000000001</v>
      </c>
      <c r="S44" s="30" t="s">
        <v>39</v>
      </c>
      <c r="T44" s="30">
        <v>16.600000000000001</v>
      </c>
      <c r="U44" s="31" t="s">
        <v>39</v>
      </c>
      <c r="V44" s="31" t="s">
        <v>39</v>
      </c>
      <c r="W44" s="31" t="s">
        <v>39</v>
      </c>
      <c r="X44" s="31" t="s">
        <v>39</v>
      </c>
      <c r="Y44" s="31" t="s">
        <v>39</v>
      </c>
      <c r="Z44" s="32" t="s">
        <v>39</v>
      </c>
      <c r="AA44" s="32" t="s">
        <v>39</v>
      </c>
      <c r="AB44" s="32" t="s">
        <v>39</v>
      </c>
      <c r="AC44" s="32" t="s">
        <v>39</v>
      </c>
      <c r="AD44" s="32" t="s">
        <v>39</v>
      </c>
      <c r="AE44" s="33" t="s">
        <v>39</v>
      </c>
      <c r="AF44" s="33" t="s">
        <v>39</v>
      </c>
      <c r="AG44" s="33" t="s">
        <v>39</v>
      </c>
      <c r="AH44" s="33" t="s">
        <v>39</v>
      </c>
      <c r="AI44" s="33" t="s">
        <v>39</v>
      </c>
      <c r="AJ44" s="34" t="s">
        <v>39</v>
      </c>
    </row>
    <row r="45" spans="1:36" ht="51" customHeight="1" x14ac:dyDescent="0.25">
      <c r="A45" s="25">
        <v>2021</v>
      </c>
      <c r="B45" s="26">
        <v>4110</v>
      </c>
      <c r="C45" s="27" t="s">
        <v>110</v>
      </c>
      <c r="D45" s="27" t="s">
        <v>105</v>
      </c>
      <c r="E45" s="27" t="s">
        <v>52</v>
      </c>
      <c r="F45" s="28">
        <v>386800</v>
      </c>
      <c r="G45" s="28">
        <v>2394</v>
      </c>
      <c r="H45" s="28">
        <v>623</v>
      </c>
      <c r="I45" s="28">
        <v>0</v>
      </c>
      <c r="J45" s="28">
        <v>389817</v>
      </c>
      <c r="K45" s="29">
        <v>3249</v>
      </c>
      <c r="L45" s="29">
        <v>0</v>
      </c>
      <c r="M45" s="29">
        <v>0</v>
      </c>
      <c r="N45" s="29">
        <v>0</v>
      </c>
      <c r="O45" s="29">
        <v>3249</v>
      </c>
      <c r="P45" s="30">
        <v>115</v>
      </c>
      <c r="Q45" s="30">
        <v>403</v>
      </c>
      <c r="R45" s="30">
        <v>522</v>
      </c>
      <c r="S45" s="30">
        <v>0</v>
      </c>
      <c r="T45" s="30">
        <v>1040</v>
      </c>
      <c r="U45" s="31">
        <v>115</v>
      </c>
      <c r="V45" s="31">
        <v>0</v>
      </c>
      <c r="W45" s="31">
        <v>0</v>
      </c>
      <c r="X45" s="31">
        <v>0</v>
      </c>
      <c r="Y45" s="31">
        <v>115</v>
      </c>
      <c r="Z45" s="32">
        <v>5325</v>
      </c>
      <c r="AA45" s="32">
        <v>0</v>
      </c>
      <c r="AB45" s="32">
        <v>0</v>
      </c>
      <c r="AC45" s="32">
        <v>0</v>
      </c>
      <c r="AD45" s="32">
        <v>5325</v>
      </c>
      <c r="AE45" s="33">
        <v>4424</v>
      </c>
      <c r="AF45" s="33">
        <v>19</v>
      </c>
      <c r="AG45" s="33">
        <v>24</v>
      </c>
      <c r="AH45" s="33">
        <v>0</v>
      </c>
      <c r="AI45" s="33">
        <v>4467</v>
      </c>
      <c r="AJ45" s="34">
        <v>0</v>
      </c>
    </row>
    <row r="46" spans="1:36" ht="51" customHeight="1" x14ac:dyDescent="0.25">
      <c r="A46" s="25">
        <v>2021</v>
      </c>
      <c r="B46" s="26">
        <v>4176</v>
      </c>
      <c r="C46" s="27" t="s">
        <v>111</v>
      </c>
      <c r="D46" s="27" t="s">
        <v>112</v>
      </c>
      <c r="E46" s="27" t="s">
        <v>113</v>
      </c>
      <c r="F46" s="28">
        <v>15648</v>
      </c>
      <c r="G46" s="28">
        <v>196</v>
      </c>
      <c r="H46" s="28">
        <v>88</v>
      </c>
      <c r="I46" s="28" t="s">
        <v>39</v>
      </c>
      <c r="J46" s="28">
        <v>15932</v>
      </c>
      <c r="K46" s="29" t="s">
        <v>39</v>
      </c>
      <c r="L46" s="29" t="s">
        <v>39</v>
      </c>
      <c r="M46" s="29" t="s">
        <v>39</v>
      </c>
      <c r="N46" s="29" t="s">
        <v>39</v>
      </c>
      <c r="O46" s="29" t="s">
        <v>39</v>
      </c>
      <c r="P46" s="30">
        <v>24.119</v>
      </c>
      <c r="Q46" s="30">
        <v>42.220999999999997</v>
      </c>
      <c r="R46" s="30">
        <v>48.616999999999997</v>
      </c>
      <c r="S46" s="30" t="s">
        <v>39</v>
      </c>
      <c r="T46" s="30">
        <v>114.95699999999999</v>
      </c>
      <c r="U46" s="31">
        <v>14.954000000000001</v>
      </c>
      <c r="V46" s="31">
        <v>25.87</v>
      </c>
      <c r="W46" s="31">
        <v>35.46</v>
      </c>
      <c r="X46" s="31" t="s">
        <v>39</v>
      </c>
      <c r="Y46" s="31">
        <v>76.284000000000006</v>
      </c>
      <c r="Z46" s="32">
        <v>1208.635</v>
      </c>
      <c r="AA46" s="32">
        <v>991.05200000000002</v>
      </c>
      <c r="AB46" s="32">
        <v>1465.944</v>
      </c>
      <c r="AC46" s="32" t="s">
        <v>39</v>
      </c>
      <c r="AD46" s="32">
        <v>3665.6309999999999</v>
      </c>
      <c r="AE46" s="33">
        <v>1301.8309999999999</v>
      </c>
      <c r="AF46" s="33">
        <v>382.24700000000001</v>
      </c>
      <c r="AG46" s="33">
        <v>536.37</v>
      </c>
      <c r="AH46" s="33" t="s">
        <v>39</v>
      </c>
      <c r="AI46" s="33">
        <v>2220.4479999999999</v>
      </c>
      <c r="AJ46" s="34" t="s">
        <v>39</v>
      </c>
    </row>
    <row r="47" spans="1:36" ht="63.6" customHeight="1" x14ac:dyDescent="0.25">
      <c r="A47" s="25">
        <v>2021</v>
      </c>
      <c r="B47" s="26">
        <v>4226</v>
      </c>
      <c r="C47" s="27" t="s">
        <v>114</v>
      </c>
      <c r="D47" s="27" t="s">
        <v>93</v>
      </c>
      <c r="E47" s="27" t="s">
        <v>94</v>
      </c>
      <c r="F47" s="28">
        <v>31145</v>
      </c>
      <c r="G47" s="28">
        <v>1985</v>
      </c>
      <c r="H47" s="28" t="s">
        <v>39</v>
      </c>
      <c r="I47" s="28" t="s">
        <v>39</v>
      </c>
      <c r="J47" s="28">
        <v>33130</v>
      </c>
      <c r="K47" s="29">
        <v>273.87</v>
      </c>
      <c r="L47" s="29">
        <v>4314.42</v>
      </c>
      <c r="M47" s="29" t="s">
        <v>39</v>
      </c>
      <c r="N47" s="29" t="s">
        <v>39</v>
      </c>
      <c r="O47" s="29">
        <v>4588.29</v>
      </c>
      <c r="P47" s="30">
        <v>24.56</v>
      </c>
      <c r="Q47" s="30">
        <v>338.46</v>
      </c>
      <c r="R47" s="30" t="s">
        <v>39</v>
      </c>
      <c r="S47" s="30" t="s">
        <v>39</v>
      </c>
      <c r="T47" s="30">
        <v>363.02</v>
      </c>
      <c r="U47" s="31">
        <v>19.36</v>
      </c>
      <c r="V47" s="31">
        <v>269.68</v>
      </c>
      <c r="W47" s="31" t="s">
        <v>39</v>
      </c>
      <c r="X47" s="31" t="s">
        <v>39</v>
      </c>
      <c r="Y47" s="31">
        <v>289.04000000000002</v>
      </c>
      <c r="Z47" s="32">
        <v>762</v>
      </c>
      <c r="AA47" s="32">
        <v>23040</v>
      </c>
      <c r="AB47" s="32" t="s">
        <v>39</v>
      </c>
      <c r="AC47" s="32" t="s">
        <v>39</v>
      </c>
      <c r="AD47" s="32">
        <v>23802</v>
      </c>
      <c r="AE47" s="33">
        <v>731</v>
      </c>
      <c r="AF47" s="33">
        <v>604</v>
      </c>
      <c r="AG47" s="33" t="s">
        <v>39</v>
      </c>
      <c r="AH47" s="33" t="s">
        <v>39</v>
      </c>
      <c r="AI47" s="33">
        <v>1335</v>
      </c>
      <c r="AJ47" s="34" t="s">
        <v>39</v>
      </c>
    </row>
    <row r="48" spans="1:36" ht="38.450000000000003" customHeight="1" x14ac:dyDescent="0.25">
      <c r="A48" s="25">
        <v>2021</v>
      </c>
      <c r="B48" s="26">
        <v>4254</v>
      </c>
      <c r="C48" s="27" t="s">
        <v>115</v>
      </c>
      <c r="D48" s="27" t="s">
        <v>116</v>
      </c>
      <c r="E48" s="27" t="s">
        <v>49</v>
      </c>
      <c r="F48" s="28">
        <v>191048</v>
      </c>
      <c r="G48" s="28">
        <v>636</v>
      </c>
      <c r="H48" s="28">
        <v>18</v>
      </c>
      <c r="I48" s="28" t="s">
        <v>39</v>
      </c>
      <c r="J48" s="28">
        <v>191702</v>
      </c>
      <c r="K48" s="29">
        <v>2181.8000000000002</v>
      </c>
      <c r="L48" s="29">
        <v>238.1</v>
      </c>
      <c r="M48" s="29">
        <v>68.53</v>
      </c>
      <c r="N48" s="29" t="s">
        <v>39</v>
      </c>
      <c r="O48" s="29">
        <v>2488.4299999999998</v>
      </c>
      <c r="P48" s="30">
        <v>104.4</v>
      </c>
      <c r="Q48" s="30">
        <v>221.1</v>
      </c>
      <c r="R48" s="30">
        <v>125.3</v>
      </c>
      <c r="S48" s="30" t="s">
        <v>39</v>
      </c>
      <c r="T48" s="30">
        <v>450.8</v>
      </c>
      <c r="U48" s="31">
        <v>80.866</v>
      </c>
      <c r="V48" s="31">
        <v>91.77</v>
      </c>
      <c r="W48" s="31">
        <v>27.13</v>
      </c>
      <c r="X48" s="31" t="s">
        <v>39</v>
      </c>
      <c r="Y48" s="31">
        <v>199.76599999999999</v>
      </c>
      <c r="Z48" s="32">
        <v>3142.5940000000001</v>
      </c>
      <c r="AA48" s="32">
        <v>6752.4570000000003</v>
      </c>
      <c r="AB48" s="32">
        <v>9522.7999999999993</v>
      </c>
      <c r="AC48" s="32" t="s">
        <v>39</v>
      </c>
      <c r="AD48" s="32">
        <v>19417.850999999999</v>
      </c>
      <c r="AE48" s="33">
        <v>18066.57</v>
      </c>
      <c r="AF48" s="33">
        <v>10211.24</v>
      </c>
      <c r="AG48" s="33" t="s">
        <v>39</v>
      </c>
      <c r="AH48" s="33" t="s">
        <v>39</v>
      </c>
      <c r="AI48" s="33">
        <v>28277.81</v>
      </c>
      <c r="AJ48" s="34" t="s">
        <v>39</v>
      </c>
    </row>
    <row r="49" spans="1:36" ht="51" customHeight="1" x14ac:dyDescent="0.25">
      <c r="A49" s="25">
        <v>2021</v>
      </c>
      <c r="B49" s="26">
        <v>4362</v>
      </c>
      <c r="C49" s="27" t="s">
        <v>117</v>
      </c>
      <c r="D49" s="27" t="s">
        <v>105</v>
      </c>
      <c r="E49" s="27" t="s">
        <v>49</v>
      </c>
      <c r="F49" s="28" t="s">
        <v>39</v>
      </c>
      <c r="G49" s="28">
        <v>53</v>
      </c>
      <c r="H49" s="28" t="s">
        <v>39</v>
      </c>
      <c r="I49" s="28" t="s">
        <v>39</v>
      </c>
      <c r="J49" s="28">
        <v>53</v>
      </c>
      <c r="K49" s="29" t="s">
        <v>39</v>
      </c>
      <c r="L49" s="29" t="s">
        <v>39</v>
      </c>
      <c r="M49" s="29" t="s">
        <v>39</v>
      </c>
      <c r="N49" s="29" t="s">
        <v>39</v>
      </c>
      <c r="O49" s="29" t="s">
        <v>39</v>
      </c>
      <c r="P49" s="30" t="s">
        <v>39</v>
      </c>
      <c r="Q49" s="30">
        <v>3</v>
      </c>
      <c r="R49" s="30" t="s">
        <v>39</v>
      </c>
      <c r="S49" s="30" t="s">
        <v>39</v>
      </c>
      <c r="T49" s="30">
        <v>3</v>
      </c>
      <c r="U49" s="31" t="s">
        <v>39</v>
      </c>
      <c r="V49" s="31">
        <v>3</v>
      </c>
      <c r="W49" s="31" t="s">
        <v>39</v>
      </c>
      <c r="X49" s="31" t="s">
        <v>39</v>
      </c>
      <c r="Y49" s="31">
        <v>3</v>
      </c>
      <c r="Z49" s="32" t="s">
        <v>39</v>
      </c>
      <c r="AA49" s="32" t="s">
        <v>39</v>
      </c>
      <c r="AB49" s="32" t="s">
        <v>39</v>
      </c>
      <c r="AC49" s="32" t="s">
        <v>39</v>
      </c>
      <c r="AD49" s="32" t="s">
        <v>39</v>
      </c>
      <c r="AE49" s="33" t="s">
        <v>39</v>
      </c>
      <c r="AF49" s="33" t="s">
        <v>39</v>
      </c>
      <c r="AG49" s="33" t="s">
        <v>39</v>
      </c>
      <c r="AH49" s="33" t="s">
        <v>39</v>
      </c>
      <c r="AI49" s="33" t="s">
        <v>39</v>
      </c>
      <c r="AJ49" s="34" t="s">
        <v>39</v>
      </c>
    </row>
    <row r="50" spans="1:36" ht="38.450000000000003" customHeight="1" x14ac:dyDescent="0.25">
      <c r="A50" s="25">
        <v>2021</v>
      </c>
      <c r="B50" s="26">
        <v>4363</v>
      </c>
      <c r="C50" s="27" t="s">
        <v>118</v>
      </c>
      <c r="D50" s="27" t="s">
        <v>119</v>
      </c>
      <c r="E50" s="27" t="s">
        <v>77</v>
      </c>
      <c r="F50" s="28">
        <v>5279</v>
      </c>
      <c r="G50" s="28" t="s">
        <v>39</v>
      </c>
      <c r="H50" s="28">
        <v>4</v>
      </c>
      <c r="I50" s="28" t="s">
        <v>39</v>
      </c>
      <c r="J50" s="28">
        <v>5283</v>
      </c>
      <c r="K50" s="29" t="s">
        <v>39</v>
      </c>
      <c r="L50" s="29" t="s">
        <v>39</v>
      </c>
      <c r="M50" s="29" t="s">
        <v>39</v>
      </c>
      <c r="N50" s="29" t="s">
        <v>39</v>
      </c>
      <c r="O50" s="29" t="s">
        <v>39</v>
      </c>
      <c r="P50" s="30">
        <v>36.795000000000002</v>
      </c>
      <c r="Q50" s="30" t="s">
        <v>39</v>
      </c>
      <c r="R50" s="30">
        <v>76.13</v>
      </c>
      <c r="S50" s="30" t="s">
        <v>39</v>
      </c>
      <c r="T50" s="30">
        <v>112.925</v>
      </c>
      <c r="U50" s="31">
        <v>34.936999999999998</v>
      </c>
      <c r="V50" s="31" t="s">
        <v>39</v>
      </c>
      <c r="W50" s="31">
        <v>33.021000000000001</v>
      </c>
      <c r="X50" s="31" t="s">
        <v>39</v>
      </c>
      <c r="Y50" s="31">
        <v>67.957999999999998</v>
      </c>
      <c r="Z50" s="32" t="s">
        <v>39</v>
      </c>
      <c r="AA50" s="32" t="s">
        <v>39</v>
      </c>
      <c r="AB50" s="32" t="s">
        <v>39</v>
      </c>
      <c r="AC50" s="32" t="s">
        <v>39</v>
      </c>
      <c r="AD50" s="32" t="s">
        <v>39</v>
      </c>
      <c r="AE50" s="33" t="s">
        <v>39</v>
      </c>
      <c r="AF50" s="33" t="s">
        <v>39</v>
      </c>
      <c r="AG50" s="33" t="s">
        <v>39</v>
      </c>
      <c r="AH50" s="33" t="s">
        <v>39</v>
      </c>
      <c r="AI50" s="33" t="s">
        <v>39</v>
      </c>
      <c r="AJ50" s="34">
        <v>814</v>
      </c>
    </row>
    <row r="51" spans="1:36" ht="63.6" customHeight="1" x14ac:dyDescent="0.25">
      <c r="A51" s="25">
        <v>2021</v>
      </c>
      <c r="B51" s="26">
        <v>4432</v>
      </c>
      <c r="C51" s="27" t="s">
        <v>120</v>
      </c>
      <c r="D51" s="27" t="s">
        <v>54</v>
      </c>
      <c r="E51" s="27" t="s">
        <v>38</v>
      </c>
      <c r="F51" s="28">
        <v>11641</v>
      </c>
      <c r="G51" s="28" t="s">
        <v>39</v>
      </c>
      <c r="H51" s="28" t="s">
        <v>39</v>
      </c>
      <c r="I51" s="28" t="s">
        <v>39</v>
      </c>
      <c r="J51" s="28">
        <v>11641</v>
      </c>
      <c r="K51" s="29">
        <v>120</v>
      </c>
      <c r="L51" s="29" t="s">
        <v>39</v>
      </c>
      <c r="M51" s="29" t="s">
        <v>39</v>
      </c>
      <c r="N51" s="29" t="s">
        <v>39</v>
      </c>
      <c r="O51" s="29">
        <v>120</v>
      </c>
      <c r="P51" s="30">
        <v>15</v>
      </c>
      <c r="Q51" s="30" t="s">
        <v>39</v>
      </c>
      <c r="R51" s="30" t="s">
        <v>39</v>
      </c>
      <c r="S51" s="30" t="s">
        <v>39</v>
      </c>
      <c r="T51" s="30">
        <v>15</v>
      </c>
      <c r="U51" s="31">
        <v>8</v>
      </c>
      <c r="V51" s="31" t="s">
        <v>39</v>
      </c>
      <c r="W51" s="31" t="s">
        <v>39</v>
      </c>
      <c r="X51" s="31" t="s">
        <v>39</v>
      </c>
      <c r="Y51" s="31">
        <v>8</v>
      </c>
      <c r="Z51" s="32">
        <v>116.2</v>
      </c>
      <c r="AA51" s="32" t="s">
        <v>39</v>
      </c>
      <c r="AB51" s="32" t="s">
        <v>39</v>
      </c>
      <c r="AC51" s="32" t="s">
        <v>39</v>
      </c>
      <c r="AD51" s="32">
        <v>116.2</v>
      </c>
      <c r="AE51" s="33">
        <v>0</v>
      </c>
      <c r="AF51" s="33" t="s">
        <v>39</v>
      </c>
      <c r="AG51" s="33" t="s">
        <v>39</v>
      </c>
      <c r="AH51" s="33" t="s">
        <v>39</v>
      </c>
      <c r="AI51" s="33">
        <v>0</v>
      </c>
      <c r="AJ51" s="34" t="s">
        <v>39</v>
      </c>
    </row>
    <row r="52" spans="1:36" ht="51" customHeight="1" x14ac:dyDescent="0.25">
      <c r="A52" s="25">
        <v>2021</v>
      </c>
      <c r="B52" s="26">
        <v>4509</v>
      </c>
      <c r="C52" s="27" t="s">
        <v>121</v>
      </c>
      <c r="D52" s="27" t="s">
        <v>63</v>
      </c>
      <c r="E52" s="27" t="s">
        <v>49</v>
      </c>
      <c r="F52" s="28" t="s">
        <v>39</v>
      </c>
      <c r="G52" s="28">
        <v>66</v>
      </c>
      <c r="H52" s="28">
        <v>1</v>
      </c>
      <c r="I52" s="28" t="s">
        <v>39</v>
      </c>
      <c r="J52" s="28">
        <v>67</v>
      </c>
      <c r="K52" s="29" t="s">
        <v>39</v>
      </c>
      <c r="L52" s="29">
        <v>22.5</v>
      </c>
      <c r="M52" s="29">
        <v>1.2</v>
      </c>
      <c r="N52" s="29" t="s">
        <v>39</v>
      </c>
      <c r="O52" s="29">
        <v>23.7</v>
      </c>
      <c r="P52" s="30" t="s">
        <v>39</v>
      </c>
      <c r="Q52" s="30">
        <v>8</v>
      </c>
      <c r="R52" s="30">
        <v>1.2</v>
      </c>
      <c r="S52" s="30" t="s">
        <v>39</v>
      </c>
      <c r="T52" s="30">
        <v>9.1999999999999993</v>
      </c>
      <c r="U52" s="31" t="s">
        <v>39</v>
      </c>
      <c r="V52" s="31" t="s">
        <v>39</v>
      </c>
      <c r="W52" s="31" t="s">
        <v>39</v>
      </c>
      <c r="X52" s="31" t="s">
        <v>39</v>
      </c>
      <c r="Y52" s="31" t="s">
        <v>39</v>
      </c>
      <c r="Z52" s="32" t="s">
        <v>39</v>
      </c>
      <c r="AA52" s="32" t="s">
        <v>39</v>
      </c>
      <c r="AB52" s="32" t="s">
        <v>39</v>
      </c>
      <c r="AC52" s="32" t="s">
        <v>39</v>
      </c>
      <c r="AD52" s="32" t="s">
        <v>39</v>
      </c>
      <c r="AE52" s="33" t="s">
        <v>39</v>
      </c>
      <c r="AF52" s="33">
        <v>740</v>
      </c>
      <c r="AG52" s="33">
        <v>31</v>
      </c>
      <c r="AH52" s="33" t="s">
        <v>39</v>
      </c>
      <c r="AI52" s="33">
        <v>771</v>
      </c>
      <c r="AJ52" s="34" t="s">
        <v>39</v>
      </c>
    </row>
    <row r="53" spans="1:36" ht="51" customHeight="1" x14ac:dyDescent="0.25">
      <c r="A53" s="25">
        <v>2021</v>
      </c>
      <c r="B53" s="26">
        <v>4538</v>
      </c>
      <c r="C53" s="27" t="s">
        <v>122</v>
      </c>
      <c r="D53" s="27" t="s">
        <v>54</v>
      </c>
      <c r="E53" s="27" t="s">
        <v>38</v>
      </c>
      <c r="F53" s="28" t="s">
        <v>39</v>
      </c>
      <c r="G53" s="28" t="s">
        <v>39</v>
      </c>
      <c r="H53" s="28">
        <v>2</v>
      </c>
      <c r="I53" s="28" t="s">
        <v>39</v>
      </c>
      <c r="J53" s="28">
        <v>2</v>
      </c>
      <c r="K53" s="29" t="s">
        <v>39</v>
      </c>
      <c r="L53" s="29" t="s">
        <v>39</v>
      </c>
      <c r="M53" s="29" t="s">
        <v>39</v>
      </c>
      <c r="N53" s="29" t="s">
        <v>39</v>
      </c>
      <c r="O53" s="29" t="s">
        <v>39</v>
      </c>
      <c r="P53" s="30" t="s">
        <v>39</v>
      </c>
      <c r="Q53" s="30" t="s">
        <v>39</v>
      </c>
      <c r="R53" s="30">
        <v>12</v>
      </c>
      <c r="S53" s="30" t="s">
        <v>39</v>
      </c>
      <c r="T53" s="30">
        <v>12</v>
      </c>
      <c r="U53" s="31" t="s">
        <v>39</v>
      </c>
      <c r="V53" s="31" t="s">
        <v>39</v>
      </c>
      <c r="W53" s="31">
        <v>10</v>
      </c>
      <c r="X53" s="31" t="s">
        <v>39</v>
      </c>
      <c r="Y53" s="31">
        <v>10</v>
      </c>
      <c r="Z53" s="32" t="s">
        <v>39</v>
      </c>
      <c r="AA53" s="32" t="s">
        <v>39</v>
      </c>
      <c r="AB53" s="32">
        <v>0</v>
      </c>
      <c r="AC53" s="32" t="s">
        <v>39</v>
      </c>
      <c r="AD53" s="32">
        <v>0</v>
      </c>
      <c r="AE53" s="33" t="s">
        <v>39</v>
      </c>
      <c r="AF53" s="33" t="s">
        <v>39</v>
      </c>
      <c r="AG53" s="33">
        <v>0</v>
      </c>
      <c r="AH53" s="33" t="s">
        <v>39</v>
      </c>
      <c r="AI53" s="33">
        <v>0</v>
      </c>
      <c r="AJ53" s="34" t="s">
        <v>39</v>
      </c>
    </row>
    <row r="54" spans="1:36" ht="51" customHeight="1" x14ac:dyDescent="0.25">
      <c r="A54" s="25">
        <v>2021</v>
      </c>
      <c r="B54" s="26">
        <v>4675</v>
      </c>
      <c r="C54" s="27" t="s">
        <v>123</v>
      </c>
      <c r="D54" s="27" t="s">
        <v>124</v>
      </c>
      <c r="E54" s="27" t="s">
        <v>125</v>
      </c>
      <c r="F54" s="28">
        <v>425</v>
      </c>
      <c r="G54" s="28">
        <v>24</v>
      </c>
      <c r="H54" s="28" t="s">
        <v>39</v>
      </c>
      <c r="I54" s="28" t="s">
        <v>39</v>
      </c>
      <c r="J54" s="28">
        <v>449</v>
      </c>
      <c r="K54" s="29">
        <v>0</v>
      </c>
      <c r="L54" s="29">
        <v>0</v>
      </c>
      <c r="M54" s="29" t="s">
        <v>39</v>
      </c>
      <c r="N54" s="29" t="s">
        <v>39</v>
      </c>
      <c r="O54" s="29">
        <v>0</v>
      </c>
      <c r="P54" s="30">
        <v>1</v>
      </c>
      <c r="Q54" s="30">
        <v>8.8699999999999992</v>
      </c>
      <c r="R54" s="30" t="s">
        <v>39</v>
      </c>
      <c r="S54" s="30" t="s">
        <v>39</v>
      </c>
      <c r="T54" s="30">
        <v>9.8699999999999992</v>
      </c>
      <c r="U54" s="31">
        <v>0.96</v>
      </c>
      <c r="V54" s="31">
        <v>5.88</v>
      </c>
      <c r="W54" s="31" t="s">
        <v>39</v>
      </c>
      <c r="X54" s="31" t="s">
        <v>39</v>
      </c>
      <c r="Y54" s="31">
        <v>6.84</v>
      </c>
      <c r="Z54" s="32">
        <v>21</v>
      </c>
      <c r="AA54" s="32">
        <v>0</v>
      </c>
      <c r="AB54" s="32" t="s">
        <v>39</v>
      </c>
      <c r="AC54" s="32" t="s">
        <v>39</v>
      </c>
      <c r="AD54" s="32">
        <v>21</v>
      </c>
      <c r="AE54" s="33">
        <v>3</v>
      </c>
      <c r="AF54" s="33">
        <v>0</v>
      </c>
      <c r="AG54" s="33" t="s">
        <v>39</v>
      </c>
      <c r="AH54" s="33" t="s">
        <v>39</v>
      </c>
      <c r="AI54" s="33">
        <v>3</v>
      </c>
      <c r="AJ54" s="34" t="s">
        <v>39</v>
      </c>
    </row>
    <row r="55" spans="1:36" ht="38.450000000000003" customHeight="1" x14ac:dyDescent="0.25">
      <c r="A55" s="25">
        <v>2021</v>
      </c>
      <c r="B55" s="26">
        <v>4911</v>
      </c>
      <c r="C55" s="27" t="s">
        <v>126</v>
      </c>
      <c r="D55" s="27" t="s">
        <v>89</v>
      </c>
      <c r="E55" s="27" t="s">
        <v>77</v>
      </c>
      <c r="F55" s="28" t="s">
        <v>39</v>
      </c>
      <c r="G55" s="28" t="s">
        <v>39</v>
      </c>
      <c r="H55" s="28">
        <v>4737</v>
      </c>
      <c r="I55" s="28" t="s">
        <v>39</v>
      </c>
      <c r="J55" s="28">
        <v>4737</v>
      </c>
      <c r="K55" s="29" t="s">
        <v>39</v>
      </c>
      <c r="L55" s="29" t="s">
        <v>39</v>
      </c>
      <c r="M55" s="29" t="s">
        <v>39</v>
      </c>
      <c r="N55" s="29" t="s">
        <v>39</v>
      </c>
      <c r="O55" s="29" t="s">
        <v>39</v>
      </c>
      <c r="P55" s="30" t="s">
        <v>39</v>
      </c>
      <c r="Q55" s="30" t="s">
        <v>39</v>
      </c>
      <c r="R55" s="30">
        <v>101.37</v>
      </c>
      <c r="S55" s="30" t="s">
        <v>39</v>
      </c>
      <c r="T55" s="30">
        <v>101.37</v>
      </c>
      <c r="U55" s="31" t="s">
        <v>39</v>
      </c>
      <c r="V55" s="31" t="s">
        <v>39</v>
      </c>
      <c r="W55" s="31">
        <v>93.113</v>
      </c>
      <c r="X55" s="31" t="s">
        <v>39</v>
      </c>
      <c r="Y55" s="31">
        <v>93.113</v>
      </c>
      <c r="Z55" s="32" t="s">
        <v>39</v>
      </c>
      <c r="AA55" s="32" t="s">
        <v>39</v>
      </c>
      <c r="AB55" s="32" t="s">
        <v>39</v>
      </c>
      <c r="AC55" s="32" t="s">
        <v>39</v>
      </c>
      <c r="AD55" s="32" t="s">
        <v>39</v>
      </c>
      <c r="AE55" s="33" t="s">
        <v>39</v>
      </c>
      <c r="AF55" s="33" t="s">
        <v>39</v>
      </c>
      <c r="AG55" s="33">
        <v>99.650999999999996</v>
      </c>
      <c r="AH55" s="33" t="s">
        <v>39</v>
      </c>
      <c r="AI55" s="33">
        <v>99.650999999999996</v>
      </c>
      <c r="AJ55" s="34" t="s">
        <v>39</v>
      </c>
    </row>
    <row r="56" spans="1:36" ht="26.1" customHeight="1" x14ac:dyDescent="0.25">
      <c r="A56" s="25">
        <v>2021</v>
      </c>
      <c r="B56" s="26">
        <v>5027</v>
      </c>
      <c r="C56" s="27" t="s">
        <v>127</v>
      </c>
      <c r="D56" s="27" t="s">
        <v>128</v>
      </c>
      <c r="E56" s="27" t="s">
        <v>52</v>
      </c>
      <c r="F56" s="28">
        <v>212623</v>
      </c>
      <c r="G56" s="28">
        <v>15062</v>
      </c>
      <c r="H56" s="28">
        <v>0</v>
      </c>
      <c r="I56" s="28">
        <v>0</v>
      </c>
      <c r="J56" s="28">
        <v>227685</v>
      </c>
      <c r="K56" s="29">
        <v>1088</v>
      </c>
      <c r="L56" s="29">
        <v>15</v>
      </c>
      <c r="M56" s="29">
        <v>0</v>
      </c>
      <c r="N56" s="29">
        <v>0</v>
      </c>
      <c r="O56" s="29">
        <v>1103</v>
      </c>
      <c r="P56" s="30">
        <v>82.4</v>
      </c>
      <c r="Q56" s="30">
        <v>1.1000000000000001</v>
      </c>
      <c r="R56" s="30">
        <v>0</v>
      </c>
      <c r="S56" s="30">
        <v>0</v>
      </c>
      <c r="T56" s="30">
        <v>83.5</v>
      </c>
      <c r="U56" s="31">
        <v>82.4</v>
      </c>
      <c r="V56" s="31">
        <v>1.1000000000000001</v>
      </c>
      <c r="W56" s="31">
        <v>0</v>
      </c>
      <c r="X56" s="31">
        <v>0</v>
      </c>
      <c r="Y56" s="31">
        <v>83.5</v>
      </c>
      <c r="Z56" s="32">
        <v>1282</v>
      </c>
      <c r="AA56" s="32">
        <v>13</v>
      </c>
      <c r="AB56" s="32">
        <v>0</v>
      </c>
      <c r="AC56" s="32">
        <v>0</v>
      </c>
      <c r="AD56" s="32">
        <v>1295</v>
      </c>
      <c r="AE56" s="33">
        <v>161</v>
      </c>
      <c r="AF56" s="33">
        <v>0</v>
      </c>
      <c r="AG56" s="33">
        <v>0</v>
      </c>
      <c r="AH56" s="33">
        <v>0</v>
      </c>
      <c r="AI56" s="33">
        <v>161</v>
      </c>
      <c r="AJ56" s="34" t="s">
        <v>39</v>
      </c>
    </row>
    <row r="57" spans="1:36" ht="26.1" customHeight="1" x14ac:dyDescent="0.25">
      <c r="A57" s="25">
        <v>2021</v>
      </c>
      <c r="B57" s="26">
        <v>5027</v>
      </c>
      <c r="C57" s="27" t="s">
        <v>127</v>
      </c>
      <c r="D57" s="27" t="s">
        <v>70</v>
      </c>
      <c r="E57" s="27" t="s">
        <v>52</v>
      </c>
      <c r="F57" s="28">
        <v>147940</v>
      </c>
      <c r="G57" s="28">
        <v>2797</v>
      </c>
      <c r="H57" s="28">
        <v>0</v>
      </c>
      <c r="I57" s="28">
        <v>0</v>
      </c>
      <c r="J57" s="28">
        <v>150737</v>
      </c>
      <c r="K57" s="29">
        <v>1060</v>
      </c>
      <c r="L57" s="29">
        <v>1</v>
      </c>
      <c r="M57" s="29">
        <v>0</v>
      </c>
      <c r="N57" s="29">
        <v>0</v>
      </c>
      <c r="O57" s="29">
        <v>1061</v>
      </c>
      <c r="P57" s="30">
        <v>91.2</v>
      </c>
      <c r="Q57" s="30">
        <v>5.6</v>
      </c>
      <c r="R57" s="30">
        <v>0</v>
      </c>
      <c r="S57" s="30">
        <v>0</v>
      </c>
      <c r="T57" s="30">
        <v>96.8</v>
      </c>
      <c r="U57" s="31">
        <v>91.2</v>
      </c>
      <c r="V57" s="31">
        <v>5.6</v>
      </c>
      <c r="W57" s="31">
        <v>0</v>
      </c>
      <c r="X57" s="31">
        <v>0</v>
      </c>
      <c r="Y57" s="31">
        <v>96.8</v>
      </c>
      <c r="Z57" s="32">
        <v>2764</v>
      </c>
      <c r="AA57" s="32">
        <v>214</v>
      </c>
      <c r="AB57" s="32">
        <v>0</v>
      </c>
      <c r="AC57" s="32">
        <v>0</v>
      </c>
      <c r="AD57" s="32">
        <v>2978</v>
      </c>
      <c r="AE57" s="33">
        <v>2001</v>
      </c>
      <c r="AF57" s="33">
        <v>135</v>
      </c>
      <c r="AG57" s="33">
        <v>0</v>
      </c>
      <c r="AH57" s="33">
        <v>0</v>
      </c>
      <c r="AI57" s="33">
        <v>2136</v>
      </c>
      <c r="AJ57" s="34" t="s">
        <v>39</v>
      </c>
    </row>
    <row r="58" spans="1:36" ht="51" customHeight="1" x14ac:dyDescent="0.25">
      <c r="A58" s="25">
        <v>2021</v>
      </c>
      <c r="B58" s="26">
        <v>5070</v>
      </c>
      <c r="C58" s="27" t="s">
        <v>129</v>
      </c>
      <c r="D58" s="27" t="s">
        <v>128</v>
      </c>
      <c r="E58" s="27" t="s">
        <v>52</v>
      </c>
      <c r="F58" s="28">
        <v>27685</v>
      </c>
      <c r="G58" s="28">
        <v>1174</v>
      </c>
      <c r="H58" s="28" t="s">
        <v>39</v>
      </c>
      <c r="I58" s="28" t="s">
        <v>39</v>
      </c>
      <c r="J58" s="28">
        <v>28859</v>
      </c>
      <c r="K58" s="29">
        <v>1.4</v>
      </c>
      <c r="L58" s="29">
        <v>0</v>
      </c>
      <c r="M58" s="29" t="s">
        <v>39</v>
      </c>
      <c r="N58" s="29" t="s">
        <v>39</v>
      </c>
      <c r="O58" s="29">
        <v>1.4</v>
      </c>
      <c r="P58" s="30">
        <v>13.96</v>
      </c>
      <c r="Q58" s="30">
        <v>23.84</v>
      </c>
      <c r="R58" s="30" t="s">
        <v>39</v>
      </c>
      <c r="S58" s="30" t="s">
        <v>39</v>
      </c>
      <c r="T58" s="30">
        <v>37.799999999999997</v>
      </c>
      <c r="U58" s="31">
        <v>13.54</v>
      </c>
      <c r="V58" s="31">
        <v>18.600000000000001</v>
      </c>
      <c r="W58" s="31" t="s">
        <v>39</v>
      </c>
      <c r="X58" s="31" t="s">
        <v>39</v>
      </c>
      <c r="Y58" s="31">
        <v>32.14</v>
      </c>
      <c r="Z58" s="32">
        <v>559</v>
      </c>
      <c r="AA58" s="32">
        <v>4</v>
      </c>
      <c r="AB58" s="32" t="s">
        <v>39</v>
      </c>
      <c r="AC58" s="32" t="s">
        <v>39</v>
      </c>
      <c r="AD58" s="32">
        <v>563</v>
      </c>
      <c r="AE58" s="33">
        <v>56</v>
      </c>
      <c r="AF58" s="33">
        <v>2</v>
      </c>
      <c r="AG58" s="33" t="s">
        <v>39</v>
      </c>
      <c r="AH58" s="33" t="s">
        <v>39</v>
      </c>
      <c r="AI58" s="33">
        <v>58</v>
      </c>
      <c r="AJ58" s="34" t="s">
        <v>39</v>
      </c>
    </row>
    <row r="59" spans="1:36" ht="51" customHeight="1" x14ac:dyDescent="0.25">
      <c r="A59" s="25">
        <v>2021</v>
      </c>
      <c r="B59" s="26">
        <v>5078</v>
      </c>
      <c r="C59" s="27" t="s">
        <v>130</v>
      </c>
      <c r="D59" s="27" t="s">
        <v>67</v>
      </c>
      <c r="E59" s="27" t="s">
        <v>68</v>
      </c>
      <c r="F59" s="28">
        <v>11584</v>
      </c>
      <c r="G59" s="28" t="s">
        <v>39</v>
      </c>
      <c r="H59" s="28" t="s">
        <v>39</v>
      </c>
      <c r="I59" s="28" t="s">
        <v>39</v>
      </c>
      <c r="J59" s="28">
        <v>11584</v>
      </c>
      <c r="K59" s="29">
        <v>113.9</v>
      </c>
      <c r="L59" s="29" t="s">
        <v>39</v>
      </c>
      <c r="M59" s="29" t="s">
        <v>39</v>
      </c>
      <c r="N59" s="29" t="s">
        <v>39</v>
      </c>
      <c r="O59" s="29">
        <v>113.9</v>
      </c>
      <c r="P59" s="30">
        <v>26.5</v>
      </c>
      <c r="Q59" s="30" t="s">
        <v>39</v>
      </c>
      <c r="R59" s="30" t="s">
        <v>39</v>
      </c>
      <c r="S59" s="30" t="s">
        <v>39</v>
      </c>
      <c r="T59" s="30">
        <v>26.5</v>
      </c>
      <c r="U59" s="31">
        <v>13.4</v>
      </c>
      <c r="V59" s="31" t="s">
        <v>39</v>
      </c>
      <c r="W59" s="31" t="s">
        <v>39</v>
      </c>
      <c r="X59" s="31" t="s">
        <v>39</v>
      </c>
      <c r="Y59" s="31">
        <v>13.4</v>
      </c>
      <c r="Z59" s="32">
        <v>446</v>
      </c>
      <c r="AA59" s="32" t="s">
        <v>39</v>
      </c>
      <c r="AB59" s="32" t="s">
        <v>39</v>
      </c>
      <c r="AC59" s="32" t="s">
        <v>39</v>
      </c>
      <c r="AD59" s="32">
        <v>446</v>
      </c>
      <c r="AE59" s="33">
        <v>480</v>
      </c>
      <c r="AF59" s="33" t="s">
        <v>39</v>
      </c>
      <c r="AG59" s="33" t="s">
        <v>39</v>
      </c>
      <c r="AH59" s="33" t="s">
        <v>39</v>
      </c>
      <c r="AI59" s="33">
        <v>480</v>
      </c>
      <c r="AJ59" s="34" t="s">
        <v>39</v>
      </c>
    </row>
    <row r="60" spans="1:36" ht="38.450000000000003" customHeight="1" x14ac:dyDescent="0.25">
      <c r="A60" s="25">
        <v>2021</v>
      </c>
      <c r="B60" s="26">
        <v>5109</v>
      </c>
      <c r="C60" s="27" t="s">
        <v>131</v>
      </c>
      <c r="D60" s="27" t="s">
        <v>116</v>
      </c>
      <c r="E60" s="27" t="s">
        <v>49</v>
      </c>
      <c r="F60" s="28">
        <v>371000</v>
      </c>
      <c r="G60" s="28">
        <v>1788</v>
      </c>
      <c r="H60" s="28">
        <v>378</v>
      </c>
      <c r="I60" s="28" t="s">
        <v>39</v>
      </c>
      <c r="J60" s="28">
        <v>373166</v>
      </c>
      <c r="K60" s="29">
        <v>493</v>
      </c>
      <c r="L60" s="29">
        <v>41</v>
      </c>
      <c r="M60" s="29">
        <v>625</v>
      </c>
      <c r="N60" s="29" t="s">
        <v>39</v>
      </c>
      <c r="O60" s="29">
        <v>1159</v>
      </c>
      <c r="P60" s="30">
        <v>242</v>
      </c>
      <c r="Q60" s="30">
        <v>32</v>
      </c>
      <c r="R60" s="30">
        <v>494</v>
      </c>
      <c r="S60" s="30" t="s">
        <v>39</v>
      </c>
      <c r="T60" s="30">
        <v>768</v>
      </c>
      <c r="U60" s="31">
        <v>140</v>
      </c>
      <c r="V60" s="31">
        <v>14</v>
      </c>
      <c r="W60" s="31">
        <v>217</v>
      </c>
      <c r="X60" s="31" t="s">
        <v>39</v>
      </c>
      <c r="Y60" s="31">
        <v>371</v>
      </c>
      <c r="Z60" s="32">
        <v>526.20000000000005</v>
      </c>
      <c r="AA60" s="32" t="s">
        <v>39</v>
      </c>
      <c r="AB60" s="32">
        <v>340.6</v>
      </c>
      <c r="AC60" s="32" t="s">
        <v>39</v>
      </c>
      <c r="AD60" s="32">
        <v>866.8</v>
      </c>
      <c r="AE60" s="33">
        <v>10978.4</v>
      </c>
      <c r="AF60" s="33" t="s">
        <v>39</v>
      </c>
      <c r="AG60" s="33" t="s">
        <v>39</v>
      </c>
      <c r="AH60" s="33" t="s">
        <v>39</v>
      </c>
      <c r="AI60" s="33">
        <v>10978.4</v>
      </c>
      <c r="AJ60" s="34" t="s">
        <v>39</v>
      </c>
    </row>
    <row r="61" spans="1:36" ht="51" customHeight="1" x14ac:dyDescent="0.25">
      <c r="A61" s="25">
        <v>2021</v>
      </c>
      <c r="B61" s="26">
        <v>5202</v>
      </c>
      <c r="C61" s="27" t="s">
        <v>132</v>
      </c>
      <c r="D61" s="27" t="s">
        <v>133</v>
      </c>
      <c r="E61" s="27" t="s">
        <v>49</v>
      </c>
      <c r="F61" s="28">
        <v>10025</v>
      </c>
      <c r="G61" s="28" t="s">
        <v>39</v>
      </c>
      <c r="H61" s="28" t="s">
        <v>39</v>
      </c>
      <c r="I61" s="28" t="s">
        <v>39</v>
      </c>
      <c r="J61" s="28">
        <v>10025</v>
      </c>
      <c r="K61" s="29" t="s">
        <v>39</v>
      </c>
      <c r="L61" s="29" t="s">
        <v>39</v>
      </c>
      <c r="M61" s="29" t="s">
        <v>39</v>
      </c>
      <c r="N61" s="29" t="s">
        <v>39</v>
      </c>
      <c r="O61" s="29" t="s">
        <v>39</v>
      </c>
      <c r="P61" s="30">
        <v>70.17</v>
      </c>
      <c r="Q61" s="30" t="s">
        <v>39</v>
      </c>
      <c r="R61" s="30" t="s">
        <v>39</v>
      </c>
      <c r="S61" s="30" t="s">
        <v>39</v>
      </c>
      <c r="T61" s="30">
        <v>70.17</v>
      </c>
      <c r="U61" s="31" t="s">
        <v>39</v>
      </c>
      <c r="V61" s="31" t="s">
        <v>39</v>
      </c>
      <c r="W61" s="31" t="s">
        <v>39</v>
      </c>
      <c r="X61" s="31" t="s">
        <v>39</v>
      </c>
      <c r="Y61" s="31" t="s">
        <v>39</v>
      </c>
      <c r="Z61" s="32">
        <v>601.5</v>
      </c>
      <c r="AA61" s="32" t="s">
        <v>39</v>
      </c>
      <c r="AB61" s="32" t="s">
        <v>39</v>
      </c>
      <c r="AC61" s="32" t="s">
        <v>39</v>
      </c>
      <c r="AD61" s="32">
        <v>601.5</v>
      </c>
      <c r="AE61" s="33" t="s">
        <v>39</v>
      </c>
      <c r="AF61" s="33" t="s">
        <v>39</v>
      </c>
      <c r="AG61" s="33" t="s">
        <v>39</v>
      </c>
      <c r="AH61" s="33" t="s">
        <v>39</v>
      </c>
      <c r="AI61" s="33" t="s">
        <v>39</v>
      </c>
      <c r="AJ61" s="34" t="s">
        <v>39</v>
      </c>
    </row>
    <row r="62" spans="1:36" ht="38.450000000000003" customHeight="1" x14ac:dyDescent="0.25">
      <c r="A62" s="25">
        <v>2021</v>
      </c>
      <c r="B62" s="26">
        <v>5335</v>
      </c>
      <c r="C62" s="27" t="s">
        <v>134</v>
      </c>
      <c r="D62" s="27" t="s">
        <v>128</v>
      </c>
      <c r="E62" s="27" t="s">
        <v>52</v>
      </c>
      <c r="F62" s="28" t="s">
        <v>39</v>
      </c>
      <c r="G62" s="28">
        <v>2</v>
      </c>
      <c r="H62" s="28">
        <v>2</v>
      </c>
      <c r="I62" s="28" t="s">
        <v>39</v>
      </c>
      <c r="J62" s="28">
        <v>4</v>
      </c>
      <c r="K62" s="29" t="s">
        <v>39</v>
      </c>
      <c r="L62" s="29">
        <v>1.1919999999999999</v>
      </c>
      <c r="M62" s="29">
        <v>3.92</v>
      </c>
      <c r="N62" s="29" t="s">
        <v>39</v>
      </c>
      <c r="O62" s="29">
        <v>5.1120000000000001</v>
      </c>
      <c r="P62" s="30" t="s">
        <v>39</v>
      </c>
      <c r="Q62" s="30">
        <v>1.1919999999999999</v>
      </c>
      <c r="R62" s="30">
        <v>3.92</v>
      </c>
      <c r="S62" s="30" t="s">
        <v>39</v>
      </c>
      <c r="T62" s="30">
        <v>5.1120000000000001</v>
      </c>
      <c r="U62" s="31" t="s">
        <v>39</v>
      </c>
      <c r="V62" s="31" t="s">
        <v>39</v>
      </c>
      <c r="W62" s="31" t="s">
        <v>39</v>
      </c>
      <c r="X62" s="31" t="s">
        <v>39</v>
      </c>
      <c r="Y62" s="31" t="s">
        <v>39</v>
      </c>
      <c r="Z62" s="32" t="s">
        <v>39</v>
      </c>
      <c r="AA62" s="32">
        <v>53.91</v>
      </c>
      <c r="AB62" s="32">
        <v>44.99</v>
      </c>
      <c r="AC62" s="32" t="s">
        <v>39</v>
      </c>
      <c r="AD62" s="32">
        <v>98.9</v>
      </c>
      <c r="AE62" s="33" t="s">
        <v>39</v>
      </c>
      <c r="AF62" s="33" t="s">
        <v>39</v>
      </c>
      <c r="AG62" s="33" t="s">
        <v>39</v>
      </c>
      <c r="AH62" s="33" t="s">
        <v>39</v>
      </c>
      <c r="AI62" s="33" t="s">
        <v>39</v>
      </c>
      <c r="AJ62" s="34">
        <v>0</v>
      </c>
    </row>
    <row r="63" spans="1:36" ht="38.450000000000003" customHeight="1" x14ac:dyDescent="0.25">
      <c r="A63" s="25">
        <v>2021</v>
      </c>
      <c r="B63" s="26">
        <v>5336</v>
      </c>
      <c r="C63" s="27" t="s">
        <v>135</v>
      </c>
      <c r="D63" s="27" t="s">
        <v>101</v>
      </c>
      <c r="E63" s="27" t="s">
        <v>52</v>
      </c>
      <c r="F63" s="28" t="s">
        <v>39</v>
      </c>
      <c r="G63" s="28" t="s">
        <v>39</v>
      </c>
      <c r="H63" s="28">
        <v>5</v>
      </c>
      <c r="I63" s="28" t="s">
        <v>39</v>
      </c>
      <c r="J63" s="28">
        <v>5</v>
      </c>
      <c r="K63" s="29" t="s">
        <v>39</v>
      </c>
      <c r="L63" s="29" t="s">
        <v>39</v>
      </c>
      <c r="M63" s="29">
        <v>1.2749999999999999</v>
      </c>
      <c r="N63" s="29" t="s">
        <v>39</v>
      </c>
      <c r="O63" s="29">
        <v>1.2749999999999999</v>
      </c>
      <c r="P63" s="30" t="s">
        <v>39</v>
      </c>
      <c r="Q63" s="30" t="s">
        <v>39</v>
      </c>
      <c r="R63" s="30">
        <v>3.66</v>
      </c>
      <c r="S63" s="30" t="s">
        <v>39</v>
      </c>
      <c r="T63" s="30">
        <v>3.66</v>
      </c>
      <c r="U63" s="31" t="s">
        <v>39</v>
      </c>
      <c r="V63" s="31" t="s">
        <v>39</v>
      </c>
      <c r="W63" s="31">
        <v>2.2799999999999998</v>
      </c>
      <c r="X63" s="31" t="s">
        <v>39</v>
      </c>
      <c r="Y63" s="31">
        <v>2.2799999999999998</v>
      </c>
      <c r="Z63" s="32" t="s">
        <v>39</v>
      </c>
      <c r="AA63" s="32" t="s">
        <v>39</v>
      </c>
      <c r="AB63" s="32">
        <v>14.428000000000001</v>
      </c>
      <c r="AC63" s="32" t="s">
        <v>39</v>
      </c>
      <c r="AD63" s="32">
        <v>14.428000000000001</v>
      </c>
      <c r="AE63" s="33" t="s">
        <v>39</v>
      </c>
      <c r="AF63" s="33" t="s">
        <v>39</v>
      </c>
      <c r="AG63" s="33" t="s">
        <v>39</v>
      </c>
      <c r="AH63" s="33" t="s">
        <v>39</v>
      </c>
      <c r="AI63" s="33" t="s">
        <v>39</v>
      </c>
      <c r="AJ63" s="34" t="s">
        <v>39</v>
      </c>
    </row>
    <row r="64" spans="1:36" ht="51" customHeight="1" x14ac:dyDescent="0.25">
      <c r="A64" s="25">
        <v>2021</v>
      </c>
      <c r="B64" s="26">
        <v>5416</v>
      </c>
      <c r="C64" s="27" t="s">
        <v>136</v>
      </c>
      <c r="D64" s="27" t="s">
        <v>79</v>
      </c>
      <c r="E64" s="27" t="s">
        <v>80</v>
      </c>
      <c r="F64" s="28">
        <v>206893</v>
      </c>
      <c r="G64" s="28">
        <v>5384</v>
      </c>
      <c r="H64" s="28" t="s">
        <v>39</v>
      </c>
      <c r="I64" s="28" t="s">
        <v>39</v>
      </c>
      <c r="J64" s="28">
        <v>212277</v>
      </c>
      <c r="K64" s="29" t="s">
        <v>39</v>
      </c>
      <c r="L64" s="29" t="s">
        <v>39</v>
      </c>
      <c r="M64" s="29" t="s">
        <v>39</v>
      </c>
      <c r="N64" s="29" t="s">
        <v>39</v>
      </c>
      <c r="O64" s="29" t="s">
        <v>39</v>
      </c>
      <c r="P64" s="30">
        <v>332.37900000000002</v>
      </c>
      <c r="Q64" s="30">
        <v>342.65100000000001</v>
      </c>
      <c r="R64" s="30" t="s">
        <v>39</v>
      </c>
      <c r="S64" s="30" t="s">
        <v>39</v>
      </c>
      <c r="T64" s="30">
        <v>675.03</v>
      </c>
      <c r="U64" s="31">
        <v>0</v>
      </c>
      <c r="V64" s="31">
        <v>0</v>
      </c>
      <c r="W64" s="31" t="s">
        <v>39</v>
      </c>
      <c r="X64" s="31" t="s">
        <v>39</v>
      </c>
      <c r="Y64" s="31">
        <v>0</v>
      </c>
      <c r="Z64" s="32">
        <v>6941</v>
      </c>
      <c r="AA64" s="32">
        <v>9670</v>
      </c>
      <c r="AB64" s="32" t="s">
        <v>39</v>
      </c>
      <c r="AC64" s="32" t="s">
        <v>39</v>
      </c>
      <c r="AD64" s="32">
        <v>16611</v>
      </c>
      <c r="AE64" s="33">
        <v>5573</v>
      </c>
      <c r="AF64" s="33">
        <v>430</v>
      </c>
      <c r="AG64" s="33" t="s">
        <v>39</v>
      </c>
      <c r="AH64" s="33" t="s">
        <v>39</v>
      </c>
      <c r="AI64" s="33">
        <v>6003</v>
      </c>
      <c r="AJ64" s="34" t="s">
        <v>39</v>
      </c>
    </row>
    <row r="65" spans="1:36" ht="51" customHeight="1" x14ac:dyDescent="0.25">
      <c r="A65" s="25">
        <v>2021</v>
      </c>
      <c r="B65" s="26">
        <v>5416</v>
      </c>
      <c r="C65" s="27" t="s">
        <v>136</v>
      </c>
      <c r="D65" s="27" t="s">
        <v>35</v>
      </c>
      <c r="E65" s="27" t="s">
        <v>80</v>
      </c>
      <c r="F65" s="28">
        <v>66124</v>
      </c>
      <c r="G65" s="28">
        <v>1506</v>
      </c>
      <c r="H65" s="28" t="s">
        <v>39</v>
      </c>
      <c r="I65" s="28" t="s">
        <v>39</v>
      </c>
      <c r="J65" s="28">
        <v>67630</v>
      </c>
      <c r="K65" s="29" t="s">
        <v>39</v>
      </c>
      <c r="L65" s="29" t="s">
        <v>39</v>
      </c>
      <c r="M65" s="29" t="s">
        <v>39</v>
      </c>
      <c r="N65" s="29" t="s">
        <v>39</v>
      </c>
      <c r="O65" s="29" t="s">
        <v>39</v>
      </c>
      <c r="P65" s="30">
        <v>97</v>
      </c>
      <c r="Q65" s="30">
        <v>107</v>
      </c>
      <c r="R65" s="30" t="s">
        <v>39</v>
      </c>
      <c r="S65" s="30" t="s">
        <v>39</v>
      </c>
      <c r="T65" s="30">
        <v>204</v>
      </c>
      <c r="U65" s="31">
        <v>0</v>
      </c>
      <c r="V65" s="31">
        <v>0</v>
      </c>
      <c r="W65" s="31" t="s">
        <v>39</v>
      </c>
      <c r="X65" s="31" t="s">
        <v>39</v>
      </c>
      <c r="Y65" s="31">
        <v>0</v>
      </c>
      <c r="Z65" s="32">
        <v>2387</v>
      </c>
      <c r="AA65" s="32">
        <v>3325</v>
      </c>
      <c r="AB65" s="32" t="s">
        <v>39</v>
      </c>
      <c r="AC65" s="32" t="s">
        <v>39</v>
      </c>
      <c r="AD65" s="32">
        <v>5712</v>
      </c>
      <c r="AE65" s="33">
        <v>1916</v>
      </c>
      <c r="AF65" s="33">
        <v>148</v>
      </c>
      <c r="AG65" s="33" t="s">
        <v>39</v>
      </c>
      <c r="AH65" s="33" t="s">
        <v>39</v>
      </c>
      <c r="AI65" s="33">
        <v>2064</v>
      </c>
      <c r="AJ65" s="34" t="s">
        <v>39</v>
      </c>
    </row>
    <row r="66" spans="1:36" ht="51" customHeight="1" x14ac:dyDescent="0.25">
      <c r="A66" s="25">
        <v>2021</v>
      </c>
      <c r="B66" s="26">
        <v>5417</v>
      </c>
      <c r="C66" s="27" t="s">
        <v>137</v>
      </c>
      <c r="D66" s="27" t="s">
        <v>72</v>
      </c>
      <c r="E66" s="27" t="s">
        <v>49</v>
      </c>
      <c r="F66" s="28">
        <v>3201</v>
      </c>
      <c r="G66" s="28">
        <v>341</v>
      </c>
      <c r="H66" s="28">
        <v>0</v>
      </c>
      <c r="I66" s="28">
        <v>0</v>
      </c>
      <c r="J66" s="28">
        <v>3542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30">
        <v>1.708</v>
      </c>
      <c r="Q66" s="30">
        <v>21.065999999999999</v>
      </c>
      <c r="R66" s="30">
        <v>0</v>
      </c>
      <c r="S66" s="30">
        <v>0</v>
      </c>
      <c r="T66" s="30">
        <v>22.774000000000001</v>
      </c>
      <c r="U66" s="31">
        <v>0.69</v>
      </c>
      <c r="V66" s="31">
        <v>8.4499999999999993</v>
      </c>
      <c r="W66" s="31">
        <v>0</v>
      </c>
      <c r="X66" s="31">
        <v>0</v>
      </c>
      <c r="Y66" s="31">
        <v>9.14</v>
      </c>
      <c r="Z66" s="32">
        <v>385</v>
      </c>
      <c r="AA66" s="32">
        <v>41</v>
      </c>
      <c r="AB66" s="32">
        <v>0</v>
      </c>
      <c r="AC66" s="32">
        <v>0</v>
      </c>
      <c r="AD66" s="32">
        <v>426</v>
      </c>
      <c r="AE66" s="33">
        <v>160</v>
      </c>
      <c r="AF66" s="33">
        <v>17</v>
      </c>
      <c r="AG66" s="33">
        <v>0</v>
      </c>
      <c r="AH66" s="33">
        <v>0</v>
      </c>
      <c r="AI66" s="33">
        <v>177</v>
      </c>
      <c r="AJ66" s="34">
        <v>16</v>
      </c>
    </row>
    <row r="67" spans="1:36" ht="26.1" customHeight="1" x14ac:dyDescent="0.25">
      <c r="A67" s="25">
        <v>2021</v>
      </c>
      <c r="B67" s="26">
        <v>5480</v>
      </c>
      <c r="C67" s="27" t="s">
        <v>138</v>
      </c>
      <c r="D67" s="27" t="s">
        <v>139</v>
      </c>
      <c r="E67" s="27" t="s">
        <v>113</v>
      </c>
      <c r="F67" s="28">
        <v>57</v>
      </c>
      <c r="G67" s="28">
        <v>9</v>
      </c>
      <c r="H67" s="28" t="s">
        <v>39</v>
      </c>
      <c r="I67" s="28" t="s">
        <v>39</v>
      </c>
      <c r="J67" s="28">
        <v>66</v>
      </c>
      <c r="K67" s="29">
        <v>1.2</v>
      </c>
      <c r="L67" s="29">
        <v>2.2000000000000002</v>
      </c>
      <c r="M67" s="29" t="s">
        <v>39</v>
      </c>
      <c r="N67" s="29" t="s">
        <v>39</v>
      </c>
      <c r="O67" s="29">
        <v>3.4</v>
      </c>
      <c r="P67" s="30">
        <v>0.68100000000000005</v>
      </c>
      <c r="Q67" s="30">
        <v>2.7709999999999999</v>
      </c>
      <c r="R67" s="30" t="s">
        <v>39</v>
      </c>
      <c r="S67" s="30" t="s">
        <v>39</v>
      </c>
      <c r="T67" s="30">
        <v>3.452</v>
      </c>
      <c r="U67" s="31">
        <v>0.23300000000000001</v>
      </c>
      <c r="V67" s="31">
        <v>0.39400000000000002</v>
      </c>
      <c r="W67" s="31" t="s">
        <v>39</v>
      </c>
      <c r="X67" s="31" t="s">
        <v>39</v>
      </c>
      <c r="Y67" s="31">
        <v>0.627</v>
      </c>
      <c r="Z67" s="32">
        <v>5.82</v>
      </c>
      <c r="AA67" s="32">
        <v>4.68</v>
      </c>
      <c r="AB67" s="32" t="s">
        <v>39</v>
      </c>
      <c r="AC67" s="32" t="s">
        <v>39</v>
      </c>
      <c r="AD67" s="32">
        <v>10.5</v>
      </c>
      <c r="AE67" s="33">
        <v>9.24</v>
      </c>
      <c r="AF67" s="33">
        <v>3.41</v>
      </c>
      <c r="AG67" s="33" t="s">
        <v>39</v>
      </c>
      <c r="AH67" s="33" t="s">
        <v>39</v>
      </c>
      <c r="AI67" s="33">
        <v>12.65</v>
      </c>
      <c r="AJ67" s="34" t="s">
        <v>39</v>
      </c>
    </row>
    <row r="68" spans="1:36" ht="51" customHeight="1" x14ac:dyDescent="0.25">
      <c r="A68" s="25">
        <v>2021</v>
      </c>
      <c r="B68" s="26">
        <v>5552</v>
      </c>
      <c r="C68" s="27" t="s">
        <v>140</v>
      </c>
      <c r="D68" s="27" t="s">
        <v>76</v>
      </c>
      <c r="E68" s="27" t="s">
        <v>77</v>
      </c>
      <c r="F68" s="28" t="s">
        <v>39</v>
      </c>
      <c r="G68" s="28" t="s">
        <v>39</v>
      </c>
      <c r="H68" s="28" t="s">
        <v>39</v>
      </c>
      <c r="I68" s="28" t="s">
        <v>39</v>
      </c>
      <c r="J68" s="28" t="s">
        <v>39</v>
      </c>
      <c r="K68" s="29" t="s">
        <v>39</v>
      </c>
      <c r="L68" s="29" t="s">
        <v>39</v>
      </c>
      <c r="M68" s="29" t="s">
        <v>39</v>
      </c>
      <c r="N68" s="29" t="s">
        <v>39</v>
      </c>
      <c r="O68" s="29" t="s">
        <v>39</v>
      </c>
      <c r="P68" s="30">
        <v>33</v>
      </c>
      <c r="Q68" s="30">
        <v>9</v>
      </c>
      <c r="R68" s="30">
        <v>34</v>
      </c>
      <c r="S68" s="30">
        <v>0</v>
      </c>
      <c r="T68" s="30">
        <v>76</v>
      </c>
      <c r="U68" s="31">
        <v>33</v>
      </c>
      <c r="V68" s="31">
        <v>9</v>
      </c>
      <c r="W68" s="31">
        <v>34</v>
      </c>
      <c r="X68" s="31">
        <v>0</v>
      </c>
      <c r="Y68" s="31">
        <v>76</v>
      </c>
      <c r="Z68" s="32">
        <v>1.54</v>
      </c>
      <c r="AA68" s="32">
        <v>0.61</v>
      </c>
      <c r="AB68" s="32">
        <v>0.15</v>
      </c>
      <c r="AC68" s="32">
        <v>0</v>
      </c>
      <c r="AD68" s="32">
        <v>2.2999999999999998</v>
      </c>
      <c r="AE68" s="33">
        <v>534.29999999999995</v>
      </c>
      <c r="AF68" s="33">
        <v>106.9</v>
      </c>
      <c r="AG68" s="33">
        <v>26.7</v>
      </c>
      <c r="AH68" s="33">
        <v>0</v>
      </c>
      <c r="AI68" s="33">
        <v>667.9</v>
      </c>
      <c r="AJ68" s="34">
        <v>902</v>
      </c>
    </row>
    <row r="69" spans="1:36" ht="51" customHeight="1" x14ac:dyDescent="0.25">
      <c r="A69" s="25">
        <v>2021</v>
      </c>
      <c r="B69" s="26">
        <v>5580</v>
      </c>
      <c r="C69" s="27" t="s">
        <v>141</v>
      </c>
      <c r="D69" s="27" t="s">
        <v>142</v>
      </c>
      <c r="E69" s="27" t="s">
        <v>52</v>
      </c>
      <c r="F69" s="28">
        <v>3103</v>
      </c>
      <c r="G69" s="28">
        <v>0</v>
      </c>
      <c r="H69" s="28">
        <v>11</v>
      </c>
      <c r="I69" s="28">
        <v>0</v>
      </c>
      <c r="J69" s="28">
        <v>3114</v>
      </c>
      <c r="K69" s="29">
        <v>15.54</v>
      </c>
      <c r="L69" s="29">
        <v>0</v>
      </c>
      <c r="M69" s="29">
        <v>0</v>
      </c>
      <c r="N69" s="29">
        <v>0</v>
      </c>
      <c r="O69" s="29">
        <v>15.54</v>
      </c>
      <c r="P69" s="30">
        <v>4.97</v>
      </c>
      <c r="Q69" s="30">
        <v>0</v>
      </c>
      <c r="R69" s="30">
        <v>1081</v>
      </c>
      <c r="S69" s="30">
        <v>0</v>
      </c>
      <c r="T69" s="30">
        <v>1085.97</v>
      </c>
      <c r="U69" s="31">
        <v>4.97</v>
      </c>
      <c r="V69" s="31">
        <v>0</v>
      </c>
      <c r="W69" s="31">
        <v>1081</v>
      </c>
      <c r="X69" s="31">
        <v>0</v>
      </c>
      <c r="Y69" s="31">
        <v>1085.97</v>
      </c>
      <c r="Z69" s="32">
        <v>714</v>
      </c>
      <c r="AA69" s="32">
        <v>0</v>
      </c>
      <c r="AB69" s="32">
        <v>94354</v>
      </c>
      <c r="AC69" s="32">
        <v>0</v>
      </c>
      <c r="AD69" s="32">
        <v>95068</v>
      </c>
      <c r="AE69" s="33">
        <v>887</v>
      </c>
      <c r="AF69" s="33">
        <v>0</v>
      </c>
      <c r="AG69" s="33">
        <v>0</v>
      </c>
      <c r="AH69" s="33">
        <v>0</v>
      </c>
      <c r="AI69" s="33">
        <v>887</v>
      </c>
      <c r="AJ69" s="34">
        <v>0</v>
      </c>
    </row>
    <row r="70" spans="1:36" ht="38.450000000000003" customHeight="1" x14ac:dyDescent="0.25">
      <c r="A70" s="25">
        <v>2021</v>
      </c>
      <c r="B70" s="26">
        <v>5701</v>
      </c>
      <c r="C70" s="27" t="s">
        <v>143</v>
      </c>
      <c r="D70" s="27" t="s">
        <v>144</v>
      </c>
      <c r="E70" s="27" t="s">
        <v>145</v>
      </c>
      <c r="F70" s="28">
        <v>2710</v>
      </c>
      <c r="G70" s="28">
        <v>2</v>
      </c>
      <c r="H70" s="28">
        <v>0</v>
      </c>
      <c r="I70" s="28">
        <v>0</v>
      </c>
      <c r="J70" s="28">
        <v>2712</v>
      </c>
      <c r="K70" s="29">
        <v>539</v>
      </c>
      <c r="L70" s="29">
        <v>10.1</v>
      </c>
      <c r="M70" s="29">
        <v>0</v>
      </c>
      <c r="N70" s="29">
        <v>0</v>
      </c>
      <c r="O70" s="29">
        <v>549.1</v>
      </c>
      <c r="P70" s="30">
        <v>1.8</v>
      </c>
      <c r="Q70" s="30">
        <v>1.2</v>
      </c>
      <c r="R70" s="30">
        <v>0</v>
      </c>
      <c r="S70" s="30">
        <v>0</v>
      </c>
      <c r="T70" s="30">
        <v>3</v>
      </c>
      <c r="U70" s="31">
        <v>1.8</v>
      </c>
      <c r="V70" s="31">
        <v>1.2</v>
      </c>
      <c r="W70" s="31">
        <v>0</v>
      </c>
      <c r="X70" s="31">
        <v>0</v>
      </c>
      <c r="Y70" s="31">
        <v>3</v>
      </c>
      <c r="Z70" s="32">
        <v>91</v>
      </c>
      <c r="AA70" s="32">
        <v>30</v>
      </c>
      <c r="AB70" s="32">
        <v>0</v>
      </c>
      <c r="AC70" s="32">
        <v>0</v>
      </c>
      <c r="AD70" s="32">
        <v>121</v>
      </c>
      <c r="AE70" s="33">
        <v>88</v>
      </c>
      <c r="AF70" s="33">
        <v>125</v>
      </c>
      <c r="AG70" s="33">
        <v>0</v>
      </c>
      <c r="AH70" s="33">
        <v>0</v>
      </c>
      <c r="AI70" s="33">
        <v>213</v>
      </c>
      <c r="AJ70" s="34" t="s">
        <v>39</v>
      </c>
    </row>
    <row r="71" spans="1:36" ht="38.450000000000003" customHeight="1" x14ac:dyDescent="0.25">
      <c r="A71" s="25">
        <v>2021</v>
      </c>
      <c r="B71" s="26">
        <v>5701</v>
      </c>
      <c r="C71" s="27" t="s">
        <v>143</v>
      </c>
      <c r="D71" s="27" t="s">
        <v>67</v>
      </c>
      <c r="E71" s="27" t="s">
        <v>145</v>
      </c>
      <c r="F71" s="28">
        <v>6922</v>
      </c>
      <c r="G71" s="28">
        <v>7</v>
      </c>
      <c r="H71" s="28">
        <v>5</v>
      </c>
      <c r="I71" s="28">
        <v>0</v>
      </c>
      <c r="J71" s="28">
        <v>6934</v>
      </c>
      <c r="K71" s="29">
        <v>2639.8</v>
      </c>
      <c r="L71" s="29">
        <v>6.8</v>
      </c>
      <c r="M71" s="29">
        <v>5.5</v>
      </c>
      <c r="N71" s="29">
        <v>0</v>
      </c>
      <c r="O71" s="29">
        <v>2652.1</v>
      </c>
      <c r="P71" s="30">
        <v>8.6999999999999993</v>
      </c>
      <c r="Q71" s="30">
        <v>6.8</v>
      </c>
      <c r="R71" s="30">
        <v>5.5</v>
      </c>
      <c r="S71" s="30">
        <v>0</v>
      </c>
      <c r="T71" s="30">
        <v>21</v>
      </c>
      <c r="U71" s="31">
        <v>8.6999999999999993</v>
      </c>
      <c r="V71" s="31">
        <v>6.8</v>
      </c>
      <c r="W71" s="31">
        <v>5.5</v>
      </c>
      <c r="X71" s="31">
        <v>0</v>
      </c>
      <c r="Y71" s="31">
        <v>21</v>
      </c>
      <c r="Z71" s="32">
        <v>549.4</v>
      </c>
      <c r="AA71" s="32">
        <v>250.1</v>
      </c>
      <c r="AB71" s="32">
        <v>203.6</v>
      </c>
      <c r="AC71" s="32">
        <v>0</v>
      </c>
      <c r="AD71" s="32">
        <v>1003.1</v>
      </c>
      <c r="AE71" s="33">
        <v>12.5</v>
      </c>
      <c r="AF71" s="33">
        <v>8.9</v>
      </c>
      <c r="AG71" s="33">
        <v>7.2</v>
      </c>
      <c r="AH71" s="33">
        <v>0</v>
      </c>
      <c r="AI71" s="33">
        <v>28.6</v>
      </c>
      <c r="AJ71" s="34" t="s">
        <v>39</v>
      </c>
    </row>
    <row r="72" spans="1:36" ht="26.1" customHeight="1" x14ac:dyDescent="0.25">
      <c r="A72" s="25">
        <v>2021</v>
      </c>
      <c r="B72" s="26">
        <v>5773</v>
      </c>
      <c r="C72" s="27" t="s">
        <v>146</v>
      </c>
      <c r="D72" s="27" t="s">
        <v>48</v>
      </c>
      <c r="E72" s="27" t="s">
        <v>49</v>
      </c>
      <c r="F72" s="28" t="s">
        <v>39</v>
      </c>
      <c r="G72" s="28">
        <v>8</v>
      </c>
      <c r="H72" s="28" t="s">
        <v>39</v>
      </c>
      <c r="I72" s="28" t="s">
        <v>39</v>
      </c>
      <c r="J72" s="28">
        <v>8</v>
      </c>
      <c r="K72" s="29" t="s">
        <v>39</v>
      </c>
      <c r="L72" s="29" t="s">
        <v>39</v>
      </c>
      <c r="M72" s="29" t="s">
        <v>39</v>
      </c>
      <c r="N72" s="29" t="s">
        <v>39</v>
      </c>
      <c r="O72" s="29" t="s">
        <v>39</v>
      </c>
      <c r="P72" s="30" t="s">
        <v>39</v>
      </c>
      <c r="Q72" s="30">
        <v>19.48</v>
      </c>
      <c r="R72" s="30" t="s">
        <v>39</v>
      </c>
      <c r="S72" s="30" t="s">
        <v>39</v>
      </c>
      <c r="T72" s="30">
        <v>19.48</v>
      </c>
      <c r="U72" s="31" t="s">
        <v>39</v>
      </c>
      <c r="V72" s="31">
        <v>14.66</v>
      </c>
      <c r="W72" s="31" t="s">
        <v>39</v>
      </c>
      <c r="X72" s="31" t="s">
        <v>39</v>
      </c>
      <c r="Y72" s="31">
        <v>14.66</v>
      </c>
      <c r="Z72" s="32" t="s">
        <v>39</v>
      </c>
      <c r="AA72" s="32" t="s">
        <v>39</v>
      </c>
      <c r="AB72" s="32" t="s">
        <v>39</v>
      </c>
      <c r="AC72" s="32" t="s">
        <v>39</v>
      </c>
      <c r="AD72" s="32" t="s">
        <v>39</v>
      </c>
      <c r="AE72" s="33" t="s">
        <v>39</v>
      </c>
      <c r="AF72" s="33" t="s">
        <v>39</v>
      </c>
      <c r="AG72" s="33" t="s">
        <v>39</v>
      </c>
      <c r="AH72" s="33" t="s">
        <v>39</v>
      </c>
      <c r="AI72" s="33" t="s">
        <v>39</v>
      </c>
      <c r="AJ72" s="34" t="s">
        <v>39</v>
      </c>
    </row>
    <row r="73" spans="1:36" ht="51" customHeight="1" x14ac:dyDescent="0.25">
      <c r="A73" s="25">
        <v>2021</v>
      </c>
      <c r="B73" s="26">
        <v>5780</v>
      </c>
      <c r="C73" s="27" t="s">
        <v>147</v>
      </c>
      <c r="D73" s="27" t="s">
        <v>89</v>
      </c>
      <c r="E73" s="27" t="s">
        <v>77</v>
      </c>
      <c r="F73" s="28" t="s">
        <v>39</v>
      </c>
      <c r="G73" s="28" t="s">
        <v>39</v>
      </c>
      <c r="H73" s="28">
        <v>1558</v>
      </c>
      <c r="I73" s="28" t="s">
        <v>39</v>
      </c>
      <c r="J73" s="28">
        <v>1558</v>
      </c>
      <c r="K73" s="29" t="s">
        <v>39</v>
      </c>
      <c r="L73" s="29" t="s">
        <v>39</v>
      </c>
      <c r="M73" s="29">
        <v>352.45</v>
      </c>
      <c r="N73" s="29" t="s">
        <v>39</v>
      </c>
      <c r="O73" s="29">
        <v>352.45</v>
      </c>
      <c r="P73" s="30" t="s">
        <v>39</v>
      </c>
      <c r="Q73" s="30" t="s">
        <v>39</v>
      </c>
      <c r="R73" s="30">
        <v>54.4</v>
      </c>
      <c r="S73" s="30" t="s">
        <v>39</v>
      </c>
      <c r="T73" s="30">
        <v>54.4</v>
      </c>
      <c r="U73" s="31" t="s">
        <v>39</v>
      </c>
      <c r="V73" s="31" t="s">
        <v>39</v>
      </c>
      <c r="W73" s="31">
        <v>45.2</v>
      </c>
      <c r="X73" s="31" t="s">
        <v>39</v>
      </c>
      <c r="Y73" s="31">
        <v>45.2</v>
      </c>
      <c r="Z73" s="32" t="s">
        <v>39</v>
      </c>
      <c r="AA73" s="32" t="s">
        <v>39</v>
      </c>
      <c r="AB73" s="32" t="s">
        <v>39</v>
      </c>
      <c r="AC73" s="32" t="s">
        <v>39</v>
      </c>
      <c r="AD73" s="32" t="s">
        <v>39</v>
      </c>
      <c r="AE73" s="33" t="s">
        <v>39</v>
      </c>
      <c r="AF73" s="33" t="s">
        <v>39</v>
      </c>
      <c r="AG73" s="33">
        <v>299</v>
      </c>
      <c r="AH73" s="33" t="s">
        <v>39</v>
      </c>
      <c r="AI73" s="33">
        <v>299</v>
      </c>
      <c r="AJ73" s="34" t="s">
        <v>39</v>
      </c>
    </row>
    <row r="74" spans="1:36" ht="51" customHeight="1" x14ac:dyDescent="0.25">
      <c r="A74" s="25">
        <v>2021</v>
      </c>
      <c r="B74" s="26">
        <v>5860</v>
      </c>
      <c r="C74" s="27" t="s">
        <v>148</v>
      </c>
      <c r="D74" s="27" t="s">
        <v>124</v>
      </c>
      <c r="E74" s="27" t="s">
        <v>77</v>
      </c>
      <c r="F74" s="28" t="s">
        <v>39</v>
      </c>
      <c r="G74" s="28" t="s">
        <v>39</v>
      </c>
      <c r="H74" s="28">
        <v>3</v>
      </c>
      <c r="I74" s="28" t="s">
        <v>39</v>
      </c>
      <c r="J74" s="28">
        <v>3</v>
      </c>
      <c r="K74" s="29" t="s">
        <v>39</v>
      </c>
      <c r="L74" s="29" t="s">
        <v>39</v>
      </c>
      <c r="M74" s="29">
        <v>0</v>
      </c>
      <c r="N74" s="29" t="s">
        <v>39</v>
      </c>
      <c r="O74" s="29">
        <v>0</v>
      </c>
      <c r="P74" s="30" t="s">
        <v>39</v>
      </c>
      <c r="Q74" s="30" t="s">
        <v>39</v>
      </c>
      <c r="R74" s="30">
        <v>8.4</v>
      </c>
      <c r="S74" s="30" t="s">
        <v>39</v>
      </c>
      <c r="T74" s="30">
        <v>8.4</v>
      </c>
      <c r="U74" s="31" t="s">
        <v>39</v>
      </c>
      <c r="V74" s="31" t="s">
        <v>39</v>
      </c>
      <c r="W74" s="31">
        <v>8.4</v>
      </c>
      <c r="X74" s="31" t="s">
        <v>39</v>
      </c>
      <c r="Y74" s="31">
        <v>8.4</v>
      </c>
      <c r="Z74" s="32" t="s">
        <v>39</v>
      </c>
      <c r="AA74" s="32" t="s">
        <v>39</v>
      </c>
      <c r="AB74" s="32">
        <v>365.71199999999999</v>
      </c>
      <c r="AC74" s="32" t="s">
        <v>39</v>
      </c>
      <c r="AD74" s="32">
        <v>365.71199999999999</v>
      </c>
      <c r="AE74" s="33" t="s">
        <v>39</v>
      </c>
      <c r="AF74" s="33" t="s">
        <v>39</v>
      </c>
      <c r="AG74" s="33">
        <v>0</v>
      </c>
      <c r="AH74" s="33" t="s">
        <v>39</v>
      </c>
      <c r="AI74" s="33">
        <v>0</v>
      </c>
      <c r="AJ74" s="34" t="s">
        <v>39</v>
      </c>
    </row>
    <row r="75" spans="1:36" ht="51" customHeight="1" x14ac:dyDescent="0.25">
      <c r="A75" s="25">
        <v>2021</v>
      </c>
      <c r="B75" s="26">
        <v>5880</v>
      </c>
      <c r="C75" s="27" t="s">
        <v>149</v>
      </c>
      <c r="D75" s="27" t="s">
        <v>93</v>
      </c>
      <c r="E75" s="27" t="s">
        <v>94</v>
      </c>
      <c r="F75" s="28" t="s">
        <v>39</v>
      </c>
      <c r="G75" s="28">
        <v>2</v>
      </c>
      <c r="H75" s="28" t="s">
        <v>39</v>
      </c>
      <c r="I75" s="28" t="s">
        <v>39</v>
      </c>
      <c r="J75" s="28">
        <v>2</v>
      </c>
      <c r="K75" s="29" t="s">
        <v>39</v>
      </c>
      <c r="L75" s="29" t="s">
        <v>39</v>
      </c>
      <c r="M75" s="29" t="s">
        <v>39</v>
      </c>
      <c r="N75" s="29" t="s">
        <v>39</v>
      </c>
      <c r="O75" s="29" t="s">
        <v>39</v>
      </c>
      <c r="P75" s="30" t="s">
        <v>39</v>
      </c>
      <c r="Q75" s="30">
        <v>1.9350000000000001</v>
      </c>
      <c r="R75" s="30" t="s">
        <v>39</v>
      </c>
      <c r="S75" s="30" t="s">
        <v>39</v>
      </c>
      <c r="T75" s="30">
        <v>1.9350000000000001</v>
      </c>
      <c r="U75" s="31" t="s">
        <v>39</v>
      </c>
      <c r="V75" s="31">
        <v>1.9350000000000001</v>
      </c>
      <c r="W75" s="31" t="s">
        <v>39</v>
      </c>
      <c r="X75" s="31" t="s">
        <v>39</v>
      </c>
      <c r="Y75" s="31">
        <v>1.9350000000000001</v>
      </c>
      <c r="Z75" s="32" t="s">
        <v>39</v>
      </c>
      <c r="AA75" s="32" t="s">
        <v>39</v>
      </c>
      <c r="AB75" s="32" t="s">
        <v>39</v>
      </c>
      <c r="AC75" s="32" t="s">
        <v>39</v>
      </c>
      <c r="AD75" s="32" t="s">
        <v>39</v>
      </c>
      <c r="AE75" s="33" t="s">
        <v>39</v>
      </c>
      <c r="AF75" s="33" t="s">
        <v>39</v>
      </c>
      <c r="AG75" s="33" t="s">
        <v>39</v>
      </c>
      <c r="AH75" s="33" t="s">
        <v>39</v>
      </c>
      <c r="AI75" s="33" t="s">
        <v>39</v>
      </c>
      <c r="AJ75" s="34" t="s">
        <v>39</v>
      </c>
    </row>
    <row r="76" spans="1:36" ht="51" customHeight="1" x14ac:dyDescent="0.25">
      <c r="A76" s="25">
        <v>2021</v>
      </c>
      <c r="B76" s="26">
        <v>5905</v>
      </c>
      <c r="C76" s="27" t="s">
        <v>150</v>
      </c>
      <c r="D76" s="27" t="s">
        <v>54</v>
      </c>
      <c r="E76" s="27" t="s">
        <v>38</v>
      </c>
      <c r="F76" s="28" t="s">
        <v>39</v>
      </c>
      <c r="G76" s="28" t="s">
        <v>39</v>
      </c>
      <c r="H76" s="28">
        <v>230</v>
      </c>
      <c r="I76" s="28" t="s">
        <v>39</v>
      </c>
      <c r="J76" s="28">
        <v>230</v>
      </c>
      <c r="K76" s="29" t="s">
        <v>39</v>
      </c>
      <c r="L76" s="29" t="s">
        <v>39</v>
      </c>
      <c r="M76" s="29">
        <v>121</v>
      </c>
      <c r="N76" s="29" t="s">
        <v>39</v>
      </c>
      <c r="O76" s="29">
        <v>121</v>
      </c>
      <c r="P76" s="30" t="s">
        <v>39</v>
      </c>
      <c r="Q76" s="30" t="s">
        <v>39</v>
      </c>
      <c r="R76" s="30">
        <v>9.6999999999999993</v>
      </c>
      <c r="S76" s="30" t="s">
        <v>39</v>
      </c>
      <c r="T76" s="30">
        <v>9.6999999999999993</v>
      </c>
      <c r="U76" s="31" t="s">
        <v>39</v>
      </c>
      <c r="V76" s="31" t="s">
        <v>39</v>
      </c>
      <c r="W76" s="31">
        <v>2.4</v>
      </c>
      <c r="X76" s="31" t="s">
        <v>39</v>
      </c>
      <c r="Y76" s="31">
        <v>2.4</v>
      </c>
      <c r="Z76" s="32" t="s">
        <v>39</v>
      </c>
      <c r="AA76" s="32" t="s">
        <v>39</v>
      </c>
      <c r="AB76" s="32">
        <v>0</v>
      </c>
      <c r="AC76" s="32" t="s">
        <v>39</v>
      </c>
      <c r="AD76" s="32">
        <v>0</v>
      </c>
      <c r="AE76" s="33" t="s">
        <v>39</v>
      </c>
      <c r="AF76" s="33" t="s">
        <v>39</v>
      </c>
      <c r="AG76" s="33">
        <v>47.3</v>
      </c>
      <c r="AH76" s="33" t="s">
        <v>39</v>
      </c>
      <c r="AI76" s="33">
        <v>47.3</v>
      </c>
      <c r="AJ76" s="34" t="s">
        <v>39</v>
      </c>
    </row>
    <row r="77" spans="1:36" ht="51" customHeight="1" x14ac:dyDescent="0.25">
      <c r="A77" s="25">
        <v>2021</v>
      </c>
      <c r="B77" s="26">
        <v>6181</v>
      </c>
      <c r="C77" s="27" t="s">
        <v>151</v>
      </c>
      <c r="D77" s="27" t="s">
        <v>124</v>
      </c>
      <c r="E77" s="27" t="s">
        <v>125</v>
      </c>
      <c r="F77" s="28">
        <v>8185</v>
      </c>
      <c r="G77" s="28">
        <v>34</v>
      </c>
      <c r="H77" s="28">
        <v>1</v>
      </c>
      <c r="I77" s="28" t="s">
        <v>39</v>
      </c>
      <c r="J77" s="28">
        <v>8220</v>
      </c>
      <c r="K77" s="29">
        <v>172.28</v>
      </c>
      <c r="L77" s="29">
        <v>0</v>
      </c>
      <c r="M77" s="29">
        <v>0</v>
      </c>
      <c r="N77" s="29" t="s">
        <v>39</v>
      </c>
      <c r="O77" s="29">
        <v>172.28</v>
      </c>
      <c r="P77" s="30">
        <v>0.89300000000000002</v>
      </c>
      <c r="Q77" s="30">
        <v>4.7E-2</v>
      </c>
      <c r="R77" s="30" t="s">
        <v>39</v>
      </c>
      <c r="S77" s="30" t="s">
        <v>39</v>
      </c>
      <c r="T77" s="30">
        <v>0.94</v>
      </c>
      <c r="U77" s="31">
        <v>0.67</v>
      </c>
      <c r="V77" s="31">
        <v>3.5000000000000003E-2</v>
      </c>
      <c r="W77" s="31" t="s">
        <v>39</v>
      </c>
      <c r="X77" s="31" t="s">
        <v>39</v>
      </c>
      <c r="Y77" s="31">
        <v>0.70499999999999996</v>
      </c>
      <c r="Z77" s="32" t="s">
        <v>39</v>
      </c>
      <c r="AA77" s="32" t="s">
        <v>39</v>
      </c>
      <c r="AB77" s="32" t="s">
        <v>39</v>
      </c>
      <c r="AC77" s="32" t="s">
        <v>39</v>
      </c>
      <c r="AD77" s="32" t="s">
        <v>39</v>
      </c>
      <c r="AE77" s="33">
        <v>8.5609999999999999</v>
      </c>
      <c r="AF77" s="33">
        <v>3.5999999999999997E-2</v>
      </c>
      <c r="AG77" s="33" t="s">
        <v>39</v>
      </c>
      <c r="AH77" s="33" t="s">
        <v>39</v>
      </c>
      <c r="AI77" s="33">
        <v>8.5969999999999995</v>
      </c>
      <c r="AJ77" s="34">
        <v>0</v>
      </c>
    </row>
    <row r="78" spans="1:36" ht="51" customHeight="1" x14ac:dyDescent="0.25">
      <c r="A78" s="25">
        <v>2021</v>
      </c>
      <c r="B78" s="26">
        <v>6182</v>
      </c>
      <c r="C78" s="27" t="s">
        <v>152</v>
      </c>
      <c r="D78" s="27" t="s">
        <v>67</v>
      </c>
      <c r="E78" s="27" t="s">
        <v>68</v>
      </c>
      <c r="F78" s="28">
        <v>1237</v>
      </c>
      <c r="G78" s="28" t="s">
        <v>39</v>
      </c>
      <c r="H78" s="28" t="s">
        <v>39</v>
      </c>
      <c r="I78" s="28" t="s">
        <v>39</v>
      </c>
      <c r="J78" s="28">
        <v>1237</v>
      </c>
      <c r="K78" s="29">
        <v>31.218</v>
      </c>
      <c r="L78" s="29" t="s">
        <v>39</v>
      </c>
      <c r="M78" s="29" t="s">
        <v>39</v>
      </c>
      <c r="N78" s="29" t="s">
        <v>39</v>
      </c>
      <c r="O78" s="29">
        <v>31.218</v>
      </c>
      <c r="P78" s="30">
        <v>2.548</v>
      </c>
      <c r="Q78" s="30" t="s">
        <v>39</v>
      </c>
      <c r="R78" s="30" t="s">
        <v>39</v>
      </c>
      <c r="S78" s="30" t="s">
        <v>39</v>
      </c>
      <c r="T78" s="30">
        <v>2.548</v>
      </c>
      <c r="U78" s="31">
        <v>1.524</v>
      </c>
      <c r="V78" s="31" t="s">
        <v>39</v>
      </c>
      <c r="W78" s="31" t="s">
        <v>39</v>
      </c>
      <c r="X78" s="31" t="s">
        <v>39</v>
      </c>
      <c r="Y78" s="31">
        <v>1.524</v>
      </c>
      <c r="Z78" s="32">
        <v>82.05</v>
      </c>
      <c r="AA78" s="32" t="s">
        <v>39</v>
      </c>
      <c r="AB78" s="32" t="s">
        <v>39</v>
      </c>
      <c r="AC78" s="32" t="s">
        <v>39</v>
      </c>
      <c r="AD78" s="32">
        <v>82.05</v>
      </c>
      <c r="AE78" s="33">
        <v>91.59</v>
      </c>
      <c r="AF78" s="33" t="s">
        <v>39</v>
      </c>
      <c r="AG78" s="33" t="s">
        <v>39</v>
      </c>
      <c r="AH78" s="33" t="s">
        <v>39</v>
      </c>
      <c r="AI78" s="33">
        <v>91.59</v>
      </c>
      <c r="AJ78" s="34" t="s">
        <v>39</v>
      </c>
    </row>
    <row r="79" spans="1:36" ht="51" customHeight="1" x14ac:dyDescent="0.25">
      <c r="A79" s="25">
        <v>2021</v>
      </c>
      <c r="B79" s="26">
        <v>6342</v>
      </c>
      <c r="C79" s="27" t="s">
        <v>153</v>
      </c>
      <c r="D79" s="27" t="s">
        <v>63</v>
      </c>
      <c r="E79" s="27" t="s">
        <v>49</v>
      </c>
      <c r="F79" s="28">
        <v>6025</v>
      </c>
      <c r="G79" s="28">
        <v>0</v>
      </c>
      <c r="H79" s="28">
        <v>545</v>
      </c>
      <c r="I79" s="28">
        <v>0</v>
      </c>
      <c r="J79" s="28">
        <v>6570</v>
      </c>
      <c r="K79" s="29">
        <v>50.4</v>
      </c>
      <c r="L79" s="29">
        <v>0</v>
      </c>
      <c r="M79" s="29">
        <v>889.86</v>
      </c>
      <c r="N79" s="29">
        <v>0</v>
      </c>
      <c r="O79" s="29">
        <v>940.26</v>
      </c>
      <c r="P79" s="30">
        <v>6.0250000000000004</v>
      </c>
      <c r="Q79" s="30">
        <v>0</v>
      </c>
      <c r="R79" s="30">
        <v>69.132999999999996</v>
      </c>
      <c r="S79" s="30">
        <v>0</v>
      </c>
      <c r="T79" s="30">
        <v>75.158000000000001</v>
      </c>
      <c r="U79" s="31">
        <v>1</v>
      </c>
      <c r="V79" s="31">
        <v>0</v>
      </c>
      <c r="W79" s="31">
        <v>13.103999999999999</v>
      </c>
      <c r="X79" s="31">
        <v>0</v>
      </c>
      <c r="Y79" s="31">
        <v>14.103999999999999</v>
      </c>
      <c r="Z79" s="32">
        <v>169.01599999999999</v>
      </c>
      <c r="AA79" s="32">
        <v>0</v>
      </c>
      <c r="AB79" s="32">
        <v>4980</v>
      </c>
      <c r="AC79" s="32" t="s">
        <v>39</v>
      </c>
      <c r="AD79" s="32">
        <v>5149.0159999999996</v>
      </c>
      <c r="AE79" s="33" t="s">
        <v>39</v>
      </c>
      <c r="AF79" s="33" t="s">
        <v>39</v>
      </c>
      <c r="AG79" s="33" t="s">
        <v>39</v>
      </c>
      <c r="AH79" s="33" t="s">
        <v>39</v>
      </c>
      <c r="AI79" s="33" t="s">
        <v>39</v>
      </c>
      <c r="AJ79" s="34" t="s">
        <v>39</v>
      </c>
    </row>
    <row r="80" spans="1:36" ht="38.450000000000003" customHeight="1" x14ac:dyDescent="0.25">
      <c r="A80" s="25">
        <v>2021</v>
      </c>
      <c r="B80" s="26">
        <v>6395</v>
      </c>
      <c r="C80" s="27" t="s">
        <v>154</v>
      </c>
      <c r="D80" s="27" t="s">
        <v>155</v>
      </c>
      <c r="E80" s="27" t="s">
        <v>156</v>
      </c>
      <c r="F80" s="28">
        <v>2926</v>
      </c>
      <c r="G80" s="28" t="s">
        <v>39</v>
      </c>
      <c r="H80" s="28" t="s">
        <v>39</v>
      </c>
      <c r="I80" s="28" t="s">
        <v>39</v>
      </c>
      <c r="J80" s="28">
        <v>2926</v>
      </c>
      <c r="K80" s="29" t="s">
        <v>39</v>
      </c>
      <c r="L80" s="29" t="s">
        <v>39</v>
      </c>
      <c r="M80" s="29" t="s">
        <v>39</v>
      </c>
      <c r="N80" s="29" t="s">
        <v>39</v>
      </c>
      <c r="O80" s="29" t="s">
        <v>39</v>
      </c>
      <c r="P80" s="30">
        <v>29.38</v>
      </c>
      <c r="Q80" s="30" t="s">
        <v>39</v>
      </c>
      <c r="R80" s="30" t="s">
        <v>39</v>
      </c>
      <c r="S80" s="30" t="s">
        <v>39</v>
      </c>
      <c r="T80" s="30">
        <v>29.38</v>
      </c>
      <c r="U80" s="31">
        <v>22.12</v>
      </c>
      <c r="V80" s="31" t="s">
        <v>39</v>
      </c>
      <c r="W80" s="31" t="s">
        <v>39</v>
      </c>
      <c r="X80" s="31" t="s">
        <v>39</v>
      </c>
      <c r="Y80" s="31">
        <v>22.12</v>
      </c>
      <c r="Z80" s="32">
        <v>141.69999999999999</v>
      </c>
      <c r="AA80" s="32" t="s">
        <v>39</v>
      </c>
      <c r="AB80" s="32" t="s">
        <v>39</v>
      </c>
      <c r="AC80" s="32" t="s">
        <v>39</v>
      </c>
      <c r="AD80" s="32">
        <v>141.69999999999999</v>
      </c>
      <c r="AE80" s="33">
        <v>12</v>
      </c>
      <c r="AF80" s="33" t="s">
        <v>39</v>
      </c>
      <c r="AG80" s="33" t="s">
        <v>39</v>
      </c>
      <c r="AH80" s="33" t="s">
        <v>39</v>
      </c>
      <c r="AI80" s="33">
        <v>12</v>
      </c>
      <c r="AJ80" s="34">
        <v>0</v>
      </c>
    </row>
    <row r="81" spans="1:36" ht="51" customHeight="1" x14ac:dyDescent="0.25">
      <c r="A81" s="25">
        <v>2021</v>
      </c>
      <c r="B81" s="26">
        <v>6411</v>
      </c>
      <c r="C81" s="27" t="s">
        <v>157</v>
      </c>
      <c r="D81" s="27" t="s">
        <v>54</v>
      </c>
      <c r="E81" s="27" t="s">
        <v>38</v>
      </c>
      <c r="F81" s="28">
        <v>21585</v>
      </c>
      <c r="G81" s="28" t="s">
        <v>39</v>
      </c>
      <c r="H81" s="28">
        <v>607</v>
      </c>
      <c r="I81" s="28">
        <v>0</v>
      </c>
      <c r="J81" s="28">
        <v>22192</v>
      </c>
      <c r="K81" s="29">
        <v>125.75</v>
      </c>
      <c r="L81" s="29" t="s">
        <v>39</v>
      </c>
      <c r="M81" s="29">
        <v>102</v>
      </c>
      <c r="N81" s="29" t="s">
        <v>39</v>
      </c>
      <c r="O81" s="29">
        <v>227.75</v>
      </c>
      <c r="P81" s="30">
        <v>20.7</v>
      </c>
      <c r="Q81" s="30" t="s">
        <v>39</v>
      </c>
      <c r="R81" s="30">
        <v>34</v>
      </c>
      <c r="S81" s="30" t="s">
        <v>39</v>
      </c>
      <c r="T81" s="30">
        <v>54.7</v>
      </c>
      <c r="U81" s="31">
        <v>1.825</v>
      </c>
      <c r="V81" s="31" t="s">
        <v>39</v>
      </c>
      <c r="W81" s="31">
        <v>5.4749999999999996</v>
      </c>
      <c r="X81" s="31" t="s">
        <v>39</v>
      </c>
      <c r="Y81" s="31">
        <v>7.3</v>
      </c>
      <c r="Z81" s="32">
        <v>328</v>
      </c>
      <c r="AA81" s="32" t="s">
        <v>39</v>
      </c>
      <c r="AB81" s="32">
        <v>133</v>
      </c>
      <c r="AC81" s="32">
        <v>0</v>
      </c>
      <c r="AD81" s="32">
        <v>461</v>
      </c>
      <c r="AE81" s="33">
        <v>144</v>
      </c>
      <c r="AF81" s="33" t="s">
        <v>39</v>
      </c>
      <c r="AG81" s="33">
        <v>6</v>
      </c>
      <c r="AH81" s="33" t="s">
        <v>39</v>
      </c>
      <c r="AI81" s="33">
        <v>150</v>
      </c>
      <c r="AJ81" s="34" t="s">
        <v>39</v>
      </c>
    </row>
    <row r="82" spans="1:36" ht="38.450000000000003" customHeight="1" x14ac:dyDescent="0.25">
      <c r="A82" s="25">
        <v>2021</v>
      </c>
      <c r="B82" s="26">
        <v>6452</v>
      </c>
      <c r="C82" s="27" t="s">
        <v>158</v>
      </c>
      <c r="D82" s="27" t="s">
        <v>98</v>
      </c>
      <c r="E82" s="27" t="s">
        <v>159</v>
      </c>
      <c r="F82" s="28">
        <v>690587</v>
      </c>
      <c r="G82" s="28">
        <v>19882</v>
      </c>
      <c r="H82" s="28" t="s">
        <v>39</v>
      </c>
      <c r="I82" s="28" t="s">
        <v>39</v>
      </c>
      <c r="J82" s="28">
        <v>710469</v>
      </c>
      <c r="K82" s="29">
        <v>740.69100000000003</v>
      </c>
      <c r="L82" s="29">
        <v>7039.4989999999998</v>
      </c>
      <c r="M82" s="29" t="s">
        <v>39</v>
      </c>
      <c r="N82" s="29" t="s">
        <v>39</v>
      </c>
      <c r="O82" s="29">
        <v>7780.19</v>
      </c>
      <c r="P82" s="30" t="s">
        <v>39</v>
      </c>
      <c r="Q82" s="30" t="s">
        <v>39</v>
      </c>
      <c r="R82" s="30" t="s">
        <v>39</v>
      </c>
      <c r="S82" s="30" t="s">
        <v>39</v>
      </c>
      <c r="T82" s="30" t="s">
        <v>39</v>
      </c>
      <c r="U82" s="31" t="s">
        <v>39</v>
      </c>
      <c r="V82" s="31" t="s">
        <v>39</v>
      </c>
      <c r="W82" s="31" t="s">
        <v>39</v>
      </c>
      <c r="X82" s="31" t="s">
        <v>39</v>
      </c>
      <c r="Y82" s="31" t="s">
        <v>39</v>
      </c>
      <c r="Z82" s="32">
        <v>28229.073</v>
      </c>
      <c r="AA82" s="32">
        <v>75109.058999999994</v>
      </c>
      <c r="AB82" s="32" t="s">
        <v>39</v>
      </c>
      <c r="AC82" s="32" t="s">
        <v>39</v>
      </c>
      <c r="AD82" s="32">
        <v>103338.132</v>
      </c>
      <c r="AE82" s="33">
        <v>11265.829</v>
      </c>
      <c r="AF82" s="33">
        <v>1230.3119999999999</v>
      </c>
      <c r="AG82" s="33" t="s">
        <v>39</v>
      </c>
      <c r="AH82" s="33" t="s">
        <v>39</v>
      </c>
      <c r="AI82" s="33">
        <v>12496.141</v>
      </c>
      <c r="AJ82" s="34" t="s">
        <v>39</v>
      </c>
    </row>
    <row r="83" spans="1:36" ht="51" customHeight="1" x14ac:dyDescent="0.25">
      <c r="A83" s="25">
        <v>2021</v>
      </c>
      <c r="B83" s="26">
        <v>6455</v>
      </c>
      <c r="C83" s="27" t="s">
        <v>160</v>
      </c>
      <c r="D83" s="27" t="s">
        <v>98</v>
      </c>
      <c r="E83" s="27" t="s">
        <v>161</v>
      </c>
      <c r="F83" s="28">
        <v>433784</v>
      </c>
      <c r="G83" s="28">
        <v>738</v>
      </c>
      <c r="H83" s="28" t="s">
        <v>39</v>
      </c>
      <c r="I83" s="28" t="s">
        <v>39</v>
      </c>
      <c r="J83" s="28">
        <v>434522</v>
      </c>
      <c r="K83" s="29" t="s">
        <v>39</v>
      </c>
      <c r="L83" s="29" t="s">
        <v>39</v>
      </c>
      <c r="M83" s="29" t="s">
        <v>39</v>
      </c>
      <c r="N83" s="29" t="s">
        <v>39</v>
      </c>
      <c r="O83" s="29" t="s">
        <v>39</v>
      </c>
      <c r="P83" s="30">
        <v>667</v>
      </c>
      <c r="Q83" s="30">
        <v>705</v>
      </c>
      <c r="R83" s="30" t="s">
        <v>39</v>
      </c>
      <c r="S83" s="30" t="s">
        <v>39</v>
      </c>
      <c r="T83" s="30">
        <v>1372</v>
      </c>
      <c r="U83" s="31" t="s">
        <v>39</v>
      </c>
      <c r="V83" s="31" t="s">
        <v>39</v>
      </c>
      <c r="W83" s="31" t="s">
        <v>39</v>
      </c>
      <c r="X83" s="31" t="s">
        <v>39</v>
      </c>
      <c r="Y83" s="31" t="s">
        <v>39</v>
      </c>
      <c r="Z83" s="32">
        <v>25657.773000000001</v>
      </c>
      <c r="AA83" s="32">
        <v>48616.519</v>
      </c>
      <c r="AB83" s="32" t="s">
        <v>39</v>
      </c>
      <c r="AC83" s="32" t="s">
        <v>39</v>
      </c>
      <c r="AD83" s="32">
        <v>74274.292000000001</v>
      </c>
      <c r="AE83" s="33">
        <v>12952.674999999999</v>
      </c>
      <c r="AF83" s="33">
        <v>2011.4929999999999</v>
      </c>
      <c r="AG83" s="33" t="s">
        <v>39</v>
      </c>
      <c r="AH83" s="33" t="s">
        <v>39</v>
      </c>
      <c r="AI83" s="33">
        <v>14964.168</v>
      </c>
      <c r="AJ83" s="34">
        <v>0</v>
      </c>
    </row>
    <row r="84" spans="1:36" ht="51" customHeight="1" x14ac:dyDescent="0.25">
      <c r="A84" s="25">
        <v>2021</v>
      </c>
      <c r="B84" s="26">
        <v>6604</v>
      </c>
      <c r="C84" s="27" t="s">
        <v>162</v>
      </c>
      <c r="D84" s="27" t="s">
        <v>107</v>
      </c>
      <c r="E84" s="27" t="s">
        <v>108</v>
      </c>
      <c r="F84" s="28">
        <v>5615</v>
      </c>
      <c r="G84" s="28">
        <v>7</v>
      </c>
      <c r="H84" s="28">
        <v>0</v>
      </c>
      <c r="I84" s="28">
        <v>0</v>
      </c>
      <c r="J84" s="28">
        <v>5622</v>
      </c>
      <c r="K84" s="29" t="s">
        <v>39</v>
      </c>
      <c r="L84" s="29" t="s">
        <v>39</v>
      </c>
      <c r="M84" s="29" t="s">
        <v>39</v>
      </c>
      <c r="N84" s="29" t="s">
        <v>39</v>
      </c>
      <c r="O84" s="29" t="s">
        <v>39</v>
      </c>
      <c r="P84" s="30">
        <v>3</v>
      </c>
      <c r="Q84" s="30">
        <v>1</v>
      </c>
      <c r="R84" s="30">
        <v>0</v>
      </c>
      <c r="S84" s="30">
        <v>0</v>
      </c>
      <c r="T84" s="30">
        <v>4</v>
      </c>
      <c r="U84" s="31">
        <v>1.8</v>
      </c>
      <c r="V84" s="31">
        <v>0.25</v>
      </c>
      <c r="W84" s="31">
        <v>0</v>
      </c>
      <c r="X84" s="31">
        <v>0</v>
      </c>
      <c r="Y84" s="31">
        <v>2.0499999999999998</v>
      </c>
      <c r="Z84" s="32">
        <v>52.213999999999999</v>
      </c>
      <c r="AA84" s="32" t="s">
        <v>39</v>
      </c>
      <c r="AB84" s="32" t="s">
        <v>39</v>
      </c>
      <c r="AC84" s="32" t="s">
        <v>39</v>
      </c>
      <c r="AD84" s="32">
        <v>52.213999999999999</v>
      </c>
      <c r="AE84" s="33">
        <v>597.12</v>
      </c>
      <c r="AF84" s="33" t="s">
        <v>39</v>
      </c>
      <c r="AG84" s="33" t="s">
        <v>39</v>
      </c>
      <c r="AH84" s="33" t="s">
        <v>39</v>
      </c>
      <c r="AI84" s="33">
        <v>597.12</v>
      </c>
      <c r="AJ84" s="34">
        <v>81</v>
      </c>
    </row>
    <row r="85" spans="1:36" ht="51" customHeight="1" x14ac:dyDescent="0.25">
      <c r="A85" s="25">
        <v>2021</v>
      </c>
      <c r="B85" s="26">
        <v>6709</v>
      </c>
      <c r="C85" s="27" t="s">
        <v>163</v>
      </c>
      <c r="D85" s="27" t="s">
        <v>35</v>
      </c>
      <c r="E85" s="27" t="s">
        <v>80</v>
      </c>
      <c r="F85" s="28">
        <v>654</v>
      </c>
      <c r="G85" s="28" t="s">
        <v>39</v>
      </c>
      <c r="H85" s="28" t="s">
        <v>39</v>
      </c>
      <c r="I85" s="28" t="s">
        <v>39</v>
      </c>
      <c r="J85" s="28">
        <v>654</v>
      </c>
      <c r="K85" s="29">
        <v>0</v>
      </c>
      <c r="L85" s="29" t="s">
        <v>39</v>
      </c>
      <c r="M85" s="29" t="s">
        <v>39</v>
      </c>
      <c r="N85" s="29" t="s">
        <v>39</v>
      </c>
      <c r="O85" s="29">
        <v>0</v>
      </c>
      <c r="P85" s="30">
        <v>0.47299999999999998</v>
      </c>
      <c r="Q85" s="30" t="s">
        <v>39</v>
      </c>
      <c r="R85" s="30" t="s">
        <v>39</v>
      </c>
      <c r="S85" s="30" t="s">
        <v>39</v>
      </c>
      <c r="T85" s="30">
        <v>0.47299999999999998</v>
      </c>
      <c r="U85" s="31">
        <v>0.47299999999999998</v>
      </c>
      <c r="V85" s="31" t="s">
        <v>39</v>
      </c>
      <c r="W85" s="31" t="s">
        <v>39</v>
      </c>
      <c r="X85" s="31" t="s">
        <v>39</v>
      </c>
      <c r="Y85" s="31">
        <v>0.47299999999999998</v>
      </c>
      <c r="Z85" s="32">
        <v>25.5</v>
      </c>
      <c r="AA85" s="32" t="s">
        <v>39</v>
      </c>
      <c r="AB85" s="32" t="s">
        <v>39</v>
      </c>
      <c r="AC85" s="32" t="s">
        <v>39</v>
      </c>
      <c r="AD85" s="32">
        <v>25.5</v>
      </c>
      <c r="AE85" s="33">
        <v>19.603999999999999</v>
      </c>
      <c r="AF85" s="33" t="s">
        <v>39</v>
      </c>
      <c r="AG85" s="33" t="s">
        <v>39</v>
      </c>
      <c r="AH85" s="33" t="s">
        <v>39</v>
      </c>
      <c r="AI85" s="33">
        <v>19.603999999999999</v>
      </c>
      <c r="AJ85" s="34" t="s">
        <v>39</v>
      </c>
    </row>
    <row r="86" spans="1:36" ht="63.6" customHeight="1" x14ac:dyDescent="0.25">
      <c r="A86" s="25">
        <v>2021</v>
      </c>
      <c r="B86" s="26">
        <v>6782</v>
      </c>
      <c r="C86" s="27" t="s">
        <v>164</v>
      </c>
      <c r="D86" s="27" t="s">
        <v>48</v>
      </c>
      <c r="E86" s="27" t="s">
        <v>49</v>
      </c>
      <c r="F86" s="28">
        <v>1586</v>
      </c>
      <c r="G86" s="28">
        <v>29</v>
      </c>
      <c r="H86" s="28">
        <v>0</v>
      </c>
      <c r="I86" s="28">
        <v>0</v>
      </c>
      <c r="J86" s="28">
        <v>1615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30">
        <v>3.3730000000000002</v>
      </c>
      <c r="Q86" s="30">
        <v>11.67</v>
      </c>
      <c r="R86" s="30">
        <v>0</v>
      </c>
      <c r="S86" s="30">
        <v>0</v>
      </c>
      <c r="T86" s="30">
        <v>15.042999999999999</v>
      </c>
      <c r="U86" s="31">
        <v>1.411</v>
      </c>
      <c r="V86" s="31">
        <v>4.883</v>
      </c>
      <c r="W86" s="31">
        <v>0</v>
      </c>
      <c r="X86" s="31">
        <v>0</v>
      </c>
      <c r="Y86" s="31">
        <v>6.2939999999999996</v>
      </c>
      <c r="Z86" s="32">
        <v>188</v>
      </c>
      <c r="AA86" s="32">
        <v>3</v>
      </c>
      <c r="AB86" s="32">
        <v>0</v>
      </c>
      <c r="AC86" s="32">
        <v>0</v>
      </c>
      <c r="AD86" s="32">
        <v>191</v>
      </c>
      <c r="AE86" s="33">
        <v>82</v>
      </c>
      <c r="AF86" s="33">
        <v>2</v>
      </c>
      <c r="AG86" s="33">
        <v>0</v>
      </c>
      <c r="AH86" s="33">
        <v>0</v>
      </c>
      <c r="AI86" s="33">
        <v>84</v>
      </c>
      <c r="AJ86" s="34">
        <v>49</v>
      </c>
    </row>
    <row r="87" spans="1:36" ht="38.450000000000003" customHeight="1" x14ac:dyDescent="0.25">
      <c r="A87" s="25">
        <v>2021</v>
      </c>
      <c r="B87" s="26">
        <v>7004</v>
      </c>
      <c r="C87" s="27" t="s">
        <v>165</v>
      </c>
      <c r="D87" s="27" t="s">
        <v>101</v>
      </c>
      <c r="E87" s="27" t="s">
        <v>52</v>
      </c>
      <c r="F87" s="28">
        <v>121346</v>
      </c>
      <c r="G87" s="28">
        <v>40</v>
      </c>
      <c r="H87" s="28">
        <v>0</v>
      </c>
      <c r="I87" s="28">
        <v>0</v>
      </c>
      <c r="J87" s="28">
        <v>121386</v>
      </c>
      <c r="K87" s="29">
        <v>2021.6</v>
      </c>
      <c r="L87" s="29">
        <v>405.6</v>
      </c>
      <c r="M87" s="29">
        <v>0</v>
      </c>
      <c r="N87" s="29">
        <v>0</v>
      </c>
      <c r="O87" s="29">
        <v>2427.1999999999998</v>
      </c>
      <c r="P87" s="30">
        <v>34.700000000000003</v>
      </c>
      <c r="Q87" s="30">
        <v>6</v>
      </c>
      <c r="R87" s="30" t="s">
        <v>39</v>
      </c>
      <c r="S87" s="30" t="s">
        <v>39</v>
      </c>
      <c r="T87" s="30">
        <v>40.700000000000003</v>
      </c>
      <c r="U87" s="31">
        <v>34.700000000000003</v>
      </c>
      <c r="V87" s="31">
        <v>6</v>
      </c>
      <c r="W87" s="31" t="s">
        <v>39</v>
      </c>
      <c r="X87" s="31" t="s">
        <v>39</v>
      </c>
      <c r="Y87" s="31">
        <v>40.700000000000003</v>
      </c>
      <c r="Z87" s="32">
        <v>432</v>
      </c>
      <c r="AA87" s="32" t="s">
        <v>39</v>
      </c>
      <c r="AB87" s="32" t="s">
        <v>39</v>
      </c>
      <c r="AC87" s="32" t="s">
        <v>39</v>
      </c>
      <c r="AD87" s="32">
        <v>432</v>
      </c>
      <c r="AE87" s="33">
        <v>219</v>
      </c>
      <c r="AF87" s="33" t="s">
        <v>39</v>
      </c>
      <c r="AG87" s="33" t="s">
        <v>39</v>
      </c>
      <c r="AH87" s="33" t="s">
        <v>39</v>
      </c>
      <c r="AI87" s="33">
        <v>219</v>
      </c>
      <c r="AJ87" s="34" t="s">
        <v>39</v>
      </c>
    </row>
    <row r="88" spans="1:36" ht="51" customHeight="1" x14ac:dyDescent="0.25">
      <c r="A88" s="25">
        <v>2021</v>
      </c>
      <c r="B88" s="26">
        <v>7090</v>
      </c>
      <c r="C88" s="27" t="s">
        <v>166</v>
      </c>
      <c r="D88" s="27" t="s">
        <v>54</v>
      </c>
      <c r="E88" s="27" t="s">
        <v>38</v>
      </c>
      <c r="F88" s="28">
        <v>50</v>
      </c>
      <c r="G88" s="28">
        <v>44</v>
      </c>
      <c r="H88" s="28" t="s">
        <v>39</v>
      </c>
      <c r="I88" s="28" t="s">
        <v>39</v>
      </c>
      <c r="J88" s="28">
        <v>94</v>
      </c>
      <c r="K88" s="29">
        <v>0.375</v>
      </c>
      <c r="L88" s="29">
        <v>0.58599999999999997</v>
      </c>
      <c r="M88" s="29" t="s">
        <v>39</v>
      </c>
      <c r="N88" s="29" t="s">
        <v>39</v>
      </c>
      <c r="O88" s="29">
        <v>0.96099999999999997</v>
      </c>
      <c r="P88" s="30">
        <v>30.12</v>
      </c>
      <c r="Q88" s="30">
        <v>65.930000000000007</v>
      </c>
      <c r="R88" s="30" t="s">
        <v>39</v>
      </c>
      <c r="S88" s="30" t="s">
        <v>39</v>
      </c>
      <c r="T88" s="30">
        <v>96.05</v>
      </c>
      <c r="U88" s="31">
        <v>8.1289999999999996</v>
      </c>
      <c r="V88" s="31">
        <v>12.701000000000001</v>
      </c>
      <c r="W88" s="31" t="s">
        <v>39</v>
      </c>
      <c r="X88" s="31" t="s">
        <v>39</v>
      </c>
      <c r="Y88" s="31">
        <v>20.83</v>
      </c>
      <c r="Z88" s="32">
        <v>0</v>
      </c>
      <c r="AA88" s="32">
        <v>0</v>
      </c>
      <c r="AB88" s="32" t="s">
        <v>39</v>
      </c>
      <c r="AC88" s="32" t="s">
        <v>39</v>
      </c>
      <c r="AD88" s="32">
        <v>0</v>
      </c>
      <c r="AE88" s="33" t="s">
        <v>39</v>
      </c>
      <c r="AF88" s="33" t="s">
        <v>39</v>
      </c>
      <c r="AG88" s="33" t="s">
        <v>39</v>
      </c>
      <c r="AH88" s="33" t="s">
        <v>39</v>
      </c>
      <c r="AI88" s="33" t="s">
        <v>39</v>
      </c>
      <c r="AJ88" s="34" t="s">
        <v>39</v>
      </c>
    </row>
    <row r="89" spans="1:36" ht="38.450000000000003" customHeight="1" x14ac:dyDescent="0.25">
      <c r="A89" s="25">
        <v>2021</v>
      </c>
      <c r="B89" s="26">
        <v>7140</v>
      </c>
      <c r="C89" s="27" t="s">
        <v>167</v>
      </c>
      <c r="D89" s="27" t="s">
        <v>54</v>
      </c>
      <c r="E89" s="27" t="s">
        <v>38</v>
      </c>
      <c r="F89" s="28">
        <v>61952</v>
      </c>
      <c r="G89" s="28">
        <v>1626</v>
      </c>
      <c r="H89" s="28">
        <v>823</v>
      </c>
      <c r="I89" s="28">
        <v>1</v>
      </c>
      <c r="J89" s="28">
        <v>64402</v>
      </c>
      <c r="K89" s="29" t="s">
        <v>39</v>
      </c>
      <c r="L89" s="29" t="s">
        <v>39</v>
      </c>
      <c r="M89" s="29" t="s">
        <v>39</v>
      </c>
      <c r="N89" s="29" t="s">
        <v>39</v>
      </c>
      <c r="O89" s="29" t="s">
        <v>39</v>
      </c>
      <c r="P89" s="30">
        <v>244.93100000000001</v>
      </c>
      <c r="Q89" s="30">
        <v>179.4</v>
      </c>
      <c r="R89" s="30">
        <v>415.8</v>
      </c>
      <c r="S89" s="30" t="s">
        <v>39</v>
      </c>
      <c r="T89" s="30">
        <v>840.13099999999997</v>
      </c>
      <c r="U89" s="31">
        <v>14.523</v>
      </c>
      <c r="V89" s="31" t="s">
        <v>39</v>
      </c>
      <c r="W89" s="31" t="s">
        <v>39</v>
      </c>
      <c r="X89" s="31" t="s">
        <v>39</v>
      </c>
      <c r="Y89" s="31">
        <v>14.523</v>
      </c>
      <c r="Z89" s="32">
        <v>382.35</v>
      </c>
      <c r="AA89" s="32">
        <v>125</v>
      </c>
      <c r="AB89" s="32">
        <v>6019</v>
      </c>
      <c r="AC89" s="32" t="s">
        <v>39</v>
      </c>
      <c r="AD89" s="32">
        <v>6526.35</v>
      </c>
      <c r="AE89" s="33">
        <v>1695.55</v>
      </c>
      <c r="AF89" s="33">
        <v>3454</v>
      </c>
      <c r="AG89" s="33">
        <v>2671</v>
      </c>
      <c r="AH89" s="33">
        <v>10</v>
      </c>
      <c r="AI89" s="33">
        <v>7830.55</v>
      </c>
      <c r="AJ89" s="34" t="s">
        <v>39</v>
      </c>
    </row>
    <row r="90" spans="1:36" ht="63.6" customHeight="1" x14ac:dyDescent="0.25">
      <c r="A90" s="25">
        <v>2021</v>
      </c>
      <c r="B90" s="26">
        <v>7349</v>
      </c>
      <c r="C90" s="27" t="s">
        <v>168</v>
      </c>
      <c r="D90" s="27" t="s">
        <v>169</v>
      </c>
      <c r="E90" s="27" t="s">
        <v>77</v>
      </c>
      <c r="F90" s="28" t="s">
        <v>39</v>
      </c>
      <c r="G90" s="28">
        <v>1</v>
      </c>
      <c r="H90" s="28" t="s">
        <v>39</v>
      </c>
      <c r="I90" s="28" t="s">
        <v>39</v>
      </c>
      <c r="J90" s="28">
        <v>1</v>
      </c>
      <c r="K90" s="29" t="s">
        <v>39</v>
      </c>
      <c r="L90" s="29">
        <v>0</v>
      </c>
      <c r="M90" s="29" t="s">
        <v>39</v>
      </c>
      <c r="N90" s="29" t="s">
        <v>39</v>
      </c>
      <c r="O90" s="29">
        <v>0</v>
      </c>
      <c r="P90" s="30" t="s">
        <v>39</v>
      </c>
      <c r="Q90" s="30">
        <v>1.9770000000000001</v>
      </c>
      <c r="R90" s="30" t="s">
        <v>39</v>
      </c>
      <c r="S90" s="30" t="s">
        <v>39</v>
      </c>
      <c r="T90" s="30">
        <v>1.9770000000000001</v>
      </c>
      <c r="U90" s="31" t="s">
        <v>39</v>
      </c>
      <c r="V90" s="31">
        <v>0</v>
      </c>
      <c r="W90" s="31" t="s">
        <v>39</v>
      </c>
      <c r="X90" s="31" t="s">
        <v>39</v>
      </c>
      <c r="Y90" s="31">
        <v>0</v>
      </c>
      <c r="Z90" s="32" t="s">
        <v>39</v>
      </c>
      <c r="AA90" s="32">
        <v>15.8</v>
      </c>
      <c r="AB90" s="32" t="s">
        <v>39</v>
      </c>
      <c r="AC90" s="32" t="s">
        <v>39</v>
      </c>
      <c r="AD90" s="32">
        <v>15.8</v>
      </c>
      <c r="AE90" s="33" t="s">
        <v>39</v>
      </c>
      <c r="AF90" s="33">
        <v>0</v>
      </c>
      <c r="AG90" s="33" t="s">
        <v>39</v>
      </c>
      <c r="AH90" s="33" t="s">
        <v>39</v>
      </c>
      <c r="AI90" s="33">
        <v>0</v>
      </c>
      <c r="AJ90" s="34" t="s">
        <v>39</v>
      </c>
    </row>
    <row r="91" spans="1:36" ht="38.450000000000003" customHeight="1" x14ac:dyDescent="0.25">
      <c r="A91" s="25">
        <v>2021</v>
      </c>
      <c r="B91" s="26">
        <v>7570</v>
      </c>
      <c r="C91" s="27" t="s">
        <v>170</v>
      </c>
      <c r="D91" s="27" t="s">
        <v>48</v>
      </c>
      <c r="E91" s="27" t="s">
        <v>49</v>
      </c>
      <c r="F91" s="28">
        <v>283712</v>
      </c>
      <c r="G91" s="28">
        <v>5492</v>
      </c>
      <c r="H91" s="28" t="s">
        <v>39</v>
      </c>
      <c r="I91" s="28" t="s">
        <v>39</v>
      </c>
      <c r="J91" s="28">
        <v>289204</v>
      </c>
      <c r="K91" s="29">
        <v>29901</v>
      </c>
      <c r="L91" s="29">
        <v>8452</v>
      </c>
      <c r="M91" s="29" t="s">
        <v>39</v>
      </c>
      <c r="N91" s="29" t="s">
        <v>39</v>
      </c>
      <c r="O91" s="29">
        <v>38353</v>
      </c>
      <c r="P91" s="30">
        <v>204</v>
      </c>
      <c r="Q91" s="30">
        <v>172</v>
      </c>
      <c r="R91" s="30" t="s">
        <v>39</v>
      </c>
      <c r="S91" s="30" t="s">
        <v>39</v>
      </c>
      <c r="T91" s="30">
        <v>376</v>
      </c>
      <c r="U91" s="31">
        <v>204</v>
      </c>
      <c r="V91" s="31">
        <v>172</v>
      </c>
      <c r="W91" s="31" t="s">
        <v>39</v>
      </c>
      <c r="X91" s="31" t="s">
        <v>39</v>
      </c>
      <c r="Y91" s="31">
        <v>376</v>
      </c>
      <c r="Z91" s="32">
        <v>1504.7270000000001</v>
      </c>
      <c r="AA91" s="32">
        <v>0</v>
      </c>
      <c r="AB91" s="32" t="s">
        <v>39</v>
      </c>
      <c r="AC91" s="32" t="s">
        <v>39</v>
      </c>
      <c r="AD91" s="32">
        <v>1504.7270000000001</v>
      </c>
      <c r="AE91" s="33">
        <v>6809.6779999999999</v>
      </c>
      <c r="AF91" s="33">
        <v>561.92999999999995</v>
      </c>
      <c r="AG91" s="33" t="s">
        <v>39</v>
      </c>
      <c r="AH91" s="33" t="s">
        <v>39</v>
      </c>
      <c r="AI91" s="33">
        <v>7371.6080000000002</v>
      </c>
      <c r="AJ91" s="34">
        <v>1219</v>
      </c>
    </row>
    <row r="92" spans="1:36" ht="51" customHeight="1" x14ac:dyDescent="0.25">
      <c r="A92" s="25">
        <v>2021</v>
      </c>
      <c r="B92" s="26">
        <v>7601</v>
      </c>
      <c r="C92" s="27" t="s">
        <v>171</v>
      </c>
      <c r="D92" s="27" t="s">
        <v>172</v>
      </c>
      <c r="E92" s="27" t="s">
        <v>113</v>
      </c>
      <c r="F92" s="28">
        <v>17837</v>
      </c>
      <c r="G92" s="28">
        <v>570</v>
      </c>
      <c r="H92" s="28">
        <v>6</v>
      </c>
      <c r="I92" s="28">
        <v>0</v>
      </c>
      <c r="J92" s="28">
        <v>18413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30">
        <v>23.18</v>
      </c>
      <c r="Q92" s="30">
        <v>11.21</v>
      </c>
      <c r="R92" s="30">
        <v>11</v>
      </c>
      <c r="S92" s="30">
        <v>0</v>
      </c>
      <c r="T92" s="30">
        <v>45.39</v>
      </c>
      <c r="U92" s="31">
        <v>8.43</v>
      </c>
      <c r="V92" s="31">
        <v>8.91</v>
      </c>
      <c r="W92" s="31">
        <v>5.65</v>
      </c>
      <c r="X92" s="31">
        <v>0</v>
      </c>
      <c r="Y92" s="31">
        <v>22.99</v>
      </c>
      <c r="Z92" s="32">
        <v>633.5</v>
      </c>
      <c r="AA92" s="32">
        <v>306.89999999999998</v>
      </c>
      <c r="AB92" s="32">
        <v>180.2</v>
      </c>
      <c r="AC92" s="32">
        <v>0</v>
      </c>
      <c r="AD92" s="32">
        <v>1120.5999999999999</v>
      </c>
      <c r="AE92" s="33">
        <v>0</v>
      </c>
      <c r="AF92" s="33">
        <v>0</v>
      </c>
      <c r="AG92" s="33">
        <v>0</v>
      </c>
      <c r="AH92" s="33">
        <v>0</v>
      </c>
      <c r="AI92" s="33">
        <v>0</v>
      </c>
      <c r="AJ92" s="34">
        <v>0</v>
      </c>
    </row>
    <row r="93" spans="1:36" ht="38.450000000000003" customHeight="1" x14ac:dyDescent="0.25">
      <c r="A93" s="25">
        <v>2021</v>
      </c>
      <c r="B93" s="26">
        <v>7634</v>
      </c>
      <c r="C93" s="27" t="s">
        <v>173</v>
      </c>
      <c r="D93" s="27" t="s">
        <v>67</v>
      </c>
      <c r="E93" s="27" t="s">
        <v>68</v>
      </c>
      <c r="F93" s="28" t="s">
        <v>39</v>
      </c>
      <c r="G93" s="28">
        <v>1</v>
      </c>
      <c r="H93" s="28" t="s">
        <v>39</v>
      </c>
      <c r="I93" s="28" t="s">
        <v>39</v>
      </c>
      <c r="J93" s="28">
        <v>1</v>
      </c>
      <c r="K93" s="29" t="s">
        <v>39</v>
      </c>
      <c r="L93" s="29">
        <v>1158.99</v>
      </c>
      <c r="M93" s="29" t="s">
        <v>39</v>
      </c>
      <c r="N93" s="29" t="s">
        <v>39</v>
      </c>
      <c r="O93" s="29">
        <v>1158.99</v>
      </c>
      <c r="P93" s="30" t="s">
        <v>39</v>
      </c>
      <c r="Q93" s="30">
        <v>6</v>
      </c>
      <c r="R93" s="30" t="s">
        <v>39</v>
      </c>
      <c r="S93" s="30" t="s">
        <v>39</v>
      </c>
      <c r="T93" s="30">
        <v>6</v>
      </c>
      <c r="U93" s="31" t="s">
        <v>39</v>
      </c>
      <c r="V93" s="31">
        <v>0</v>
      </c>
      <c r="W93" s="31" t="s">
        <v>39</v>
      </c>
      <c r="X93" s="31" t="s">
        <v>39</v>
      </c>
      <c r="Y93" s="31">
        <v>0</v>
      </c>
      <c r="Z93" s="32" t="s">
        <v>39</v>
      </c>
      <c r="AA93" s="32">
        <v>0</v>
      </c>
      <c r="AB93" s="32" t="s">
        <v>39</v>
      </c>
      <c r="AC93" s="32" t="s">
        <v>39</v>
      </c>
      <c r="AD93" s="32">
        <v>0</v>
      </c>
      <c r="AE93" s="33" t="s">
        <v>39</v>
      </c>
      <c r="AF93" s="33">
        <v>0</v>
      </c>
      <c r="AG93" s="33" t="s">
        <v>39</v>
      </c>
      <c r="AH93" s="33" t="s">
        <v>39</v>
      </c>
      <c r="AI93" s="33">
        <v>0</v>
      </c>
      <c r="AJ93" s="34" t="s">
        <v>39</v>
      </c>
    </row>
    <row r="94" spans="1:36" ht="51" customHeight="1" x14ac:dyDescent="0.25">
      <c r="A94" s="25">
        <v>2021</v>
      </c>
      <c r="B94" s="26">
        <v>7752</v>
      </c>
      <c r="C94" s="27" t="s">
        <v>174</v>
      </c>
      <c r="D94" s="27" t="s">
        <v>67</v>
      </c>
      <c r="E94" s="27" t="s">
        <v>68</v>
      </c>
      <c r="F94" s="28">
        <v>2100</v>
      </c>
      <c r="G94" s="28" t="s">
        <v>39</v>
      </c>
      <c r="H94" s="28" t="s">
        <v>39</v>
      </c>
      <c r="I94" s="28" t="s">
        <v>39</v>
      </c>
      <c r="J94" s="28">
        <v>2100</v>
      </c>
      <c r="K94" s="29">
        <v>74</v>
      </c>
      <c r="L94" s="29" t="s">
        <v>39</v>
      </c>
      <c r="M94" s="29" t="s">
        <v>39</v>
      </c>
      <c r="N94" s="29" t="s">
        <v>39</v>
      </c>
      <c r="O94" s="29">
        <v>74</v>
      </c>
      <c r="P94" s="30">
        <v>3.6749999999999998</v>
      </c>
      <c r="Q94" s="30" t="s">
        <v>39</v>
      </c>
      <c r="R94" s="30" t="s">
        <v>39</v>
      </c>
      <c r="S94" s="30" t="s">
        <v>39</v>
      </c>
      <c r="T94" s="30">
        <v>3.6749999999999998</v>
      </c>
      <c r="U94" s="31">
        <v>3.4</v>
      </c>
      <c r="V94" s="31" t="s">
        <v>39</v>
      </c>
      <c r="W94" s="31" t="s">
        <v>39</v>
      </c>
      <c r="X94" s="31" t="s">
        <v>39</v>
      </c>
      <c r="Y94" s="31">
        <v>3.4</v>
      </c>
      <c r="Z94" s="32">
        <v>9.0289999999999999</v>
      </c>
      <c r="AA94" s="32" t="s">
        <v>39</v>
      </c>
      <c r="AB94" s="32" t="s">
        <v>39</v>
      </c>
      <c r="AC94" s="32" t="s">
        <v>39</v>
      </c>
      <c r="AD94" s="32">
        <v>9.0289999999999999</v>
      </c>
      <c r="AE94" s="33">
        <v>7.6210000000000004</v>
      </c>
      <c r="AF94" s="33" t="s">
        <v>39</v>
      </c>
      <c r="AG94" s="33" t="s">
        <v>39</v>
      </c>
      <c r="AH94" s="33" t="s">
        <v>39</v>
      </c>
      <c r="AI94" s="33">
        <v>7.6210000000000004</v>
      </c>
      <c r="AJ94" s="34" t="s">
        <v>39</v>
      </c>
    </row>
    <row r="95" spans="1:36" ht="51" customHeight="1" x14ac:dyDescent="0.25">
      <c r="A95" s="25">
        <v>2021</v>
      </c>
      <c r="B95" s="26">
        <v>7785</v>
      </c>
      <c r="C95" s="27" t="s">
        <v>175</v>
      </c>
      <c r="D95" s="27" t="s">
        <v>98</v>
      </c>
      <c r="E95" s="27" t="s">
        <v>38</v>
      </c>
      <c r="F95" s="28">
        <v>750</v>
      </c>
      <c r="G95" s="28" t="s">
        <v>39</v>
      </c>
      <c r="H95" s="28" t="s">
        <v>39</v>
      </c>
      <c r="I95" s="28" t="s">
        <v>39</v>
      </c>
      <c r="J95" s="28">
        <v>750</v>
      </c>
      <c r="K95" s="29">
        <v>0.65200000000000002</v>
      </c>
      <c r="L95" s="29" t="s">
        <v>39</v>
      </c>
      <c r="M95" s="29" t="s">
        <v>39</v>
      </c>
      <c r="N95" s="29" t="s">
        <v>39</v>
      </c>
      <c r="O95" s="29">
        <v>0.65200000000000002</v>
      </c>
      <c r="P95" s="30">
        <v>0.9</v>
      </c>
      <c r="Q95" s="30" t="s">
        <v>39</v>
      </c>
      <c r="R95" s="30" t="s">
        <v>39</v>
      </c>
      <c r="S95" s="30" t="s">
        <v>39</v>
      </c>
      <c r="T95" s="30">
        <v>0.9</v>
      </c>
      <c r="U95" s="31">
        <v>0.9</v>
      </c>
      <c r="V95" s="31" t="s">
        <v>39</v>
      </c>
      <c r="W95" s="31" t="s">
        <v>39</v>
      </c>
      <c r="X95" s="31" t="s">
        <v>39</v>
      </c>
      <c r="Y95" s="31">
        <v>0.9</v>
      </c>
      <c r="Z95" s="32">
        <v>1.853</v>
      </c>
      <c r="AA95" s="32" t="s">
        <v>39</v>
      </c>
      <c r="AB95" s="32" t="s">
        <v>39</v>
      </c>
      <c r="AC95" s="32" t="s">
        <v>39</v>
      </c>
      <c r="AD95" s="32">
        <v>1.853</v>
      </c>
      <c r="AE95" s="33">
        <v>5.2539999999999996</v>
      </c>
      <c r="AF95" s="33" t="s">
        <v>39</v>
      </c>
      <c r="AG95" s="33" t="s">
        <v>39</v>
      </c>
      <c r="AH95" s="33" t="s">
        <v>39</v>
      </c>
      <c r="AI95" s="33">
        <v>5.2539999999999996</v>
      </c>
      <c r="AJ95" s="34" t="s">
        <v>39</v>
      </c>
    </row>
    <row r="96" spans="1:36" ht="38.450000000000003" customHeight="1" x14ac:dyDescent="0.25">
      <c r="A96" s="25">
        <v>2021</v>
      </c>
      <c r="B96" s="26">
        <v>7801</v>
      </c>
      <c r="C96" s="27" t="s">
        <v>176</v>
      </c>
      <c r="D96" s="27" t="s">
        <v>98</v>
      </c>
      <c r="E96" s="27" t="s">
        <v>38</v>
      </c>
      <c r="F96" s="28" t="s">
        <v>39</v>
      </c>
      <c r="G96" s="28">
        <v>24</v>
      </c>
      <c r="H96" s="28" t="s">
        <v>39</v>
      </c>
      <c r="I96" s="28" t="s">
        <v>39</v>
      </c>
      <c r="J96" s="28">
        <v>24</v>
      </c>
      <c r="K96" s="29" t="s">
        <v>39</v>
      </c>
      <c r="L96" s="29">
        <v>0</v>
      </c>
      <c r="M96" s="29" t="s">
        <v>39</v>
      </c>
      <c r="N96" s="29" t="s">
        <v>39</v>
      </c>
      <c r="O96" s="29">
        <v>0</v>
      </c>
      <c r="P96" s="30" t="s">
        <v>39</v>
      </c>
      <c r="Q96" s="30">
        <v>9.91</v>
      </c>
      <c r="R96" s="30" t="s">
        <v>39</v>
      </c>
      <c r="S96" s="30" t="s">
        <v>39</v>
      </c>
      <c r="T96" s="30">
        <v>9.91</v>
      </c>
      <c r="U96" s="31" t="s">
        <v>39</v>
      </c>
      <c r="V96" s="31">
        <v>0</v>
      </c>
      <c r="W96" s="31" t="s">
        <v>39</v>
      </c>
      <c r="X96" s="31" t="s">
        <v>39</v>
      </c>
      <c r="Y96" s="31">
        <v>0</v>
      </c>
      <c r="Z96" s="32" t="s">
        <v>39</v>
      </c>
      <c r="AA96" s="32" t="s">
        <v>39</v>
      </c>
      <c r="AB96" s="32" t="s">
        <v>39</v>
      </c>
      <c r="AC96" s="32" t="s">
        <v>39</v>
      </c>
      <c r="AD96" s="32" t="s">
        <v>39</v>
      </c>
      <c r="AE96" s="33" t="s">
        <v>39</v>
      </c>
      <c r="AF96" s="33" t="s">
        <v>39</v>
      </c>
      <c r="AG96" s="33" t="s">
        <v>39</v>
      </c>
      <c r="AH96" s="33" t="s">
        <v>39</v>
      </c>
      <c r="AI96" s="33" t="s">
        <v>39</v>
      </c>
      <c r="AJ96" s="34" t="s">
        <v>39</v>
      </c>
    </row>
    <row r="97" spans="1:36" ht="38.450000000000003" customHeight="1" x14ac:dyDescent="0.25">
      <c r="A97" s="25">
        <v>2021</v>
      </c>
      <c r="B97" s="26">
        <v>7977</v>
      </c>
      <c r="C97" s="27" t="s">
        <v>177</v>
      </c>
      <c r="D97" s="27" t="s">
        <v>101</v>
      </c>
      <c r="E97" s="27" t="s">
        <v>52</v>
      </c>
      <c r="F97" s="28" t="s">
        <v>39</v>
      </c>
      <c r="G97" s="28" t="s">
        <v>39</v>
      </c>
      <c r="H97" s="28">
        <v>5</v>
      </c>
      <c r="I97" s="28" t="s">
        <v>39</v>
      </c>
      <c r="J97" s="28">
        <v>5</v>
      </c>
      <c r="K97" s="29" t="s">
        <v>39</v>
      </c>
      <c r="L97" s="29" t="s">
        <v>39</v>
      </c>
      <c r="M97" s="29">
        <v>7.9020000000000001</v>
      </c>
      <c r="N97" s="29" t="s">
        <v>39</v>
      </c>
      <c r="O97" s="29">
        <v>7.9020000000000001</v>
      </c>
      <c r="P97" s="30" t="s">
        <v>39</v>
      </c>
      <c r="Q97" s="30" t="s">
        <v>39</v>
      </c>
      <c r="R97" s="30">
        <v>7.9020000000000001</v>
      </c>
      <c r="S97" s="30" t="s">
        <v>39</v>
      </c>
      <c r="T97" s="30">
        <v>7.9020000000000001</v>
      </c>
      <c r="U97" s="31" t="s">
        <v>39</v>
      </c>
      <c r="V97" s="31" t="s">
        <v>39</v>
      </c>
      <c r="W97" s="31">
        <v>7.9020000000000001</v>
      </c>
      <c r="X97" s="31" t="s">
        <v>39</v>
      </c>
      <c r="Y97" s="31">
        <v>7.9020000000000001</v>
      </c>
      <c r="Z97" s="32" t="s">
        <v>39</v>
      </c>
      <c r="AA97" s="32" t="s">
        <v>39</v>
      </c>
      <c r="AB97" s="32" t="s">
        <v>39</v>
      </c>
      <c r="AC97" s="32" t="s">
        <v>39</v>
      </c>
      <c r="AD97" s="32" t="s">
        <v>39</v>
      </c>
      <c r="AE97" s="33" t="s">
        <v>39</v>
      </c>
      <c r="AF97" s="33" t="s">
        <v>39</v>
      </c>
      <c r="AG97" s="33" t="s">
        <v>39</v>
      </c>
      <c r="AH97" s="33" t="s">
        <v>39</v>
      </c>
      <c r="AI97" s="33" t="s">
        <v>39</v>
      </c>
      <c r="AJ97" s="34" t="s">
        <v>39</v>
      </c>
    </row>
    <row r="98" spans="1:36" ht="51" customHeight="1" x14ac:dyDescent="0.25">
      <c r="A98" s="25">
        <v>2021</v>
      </c>
      <c r="B98" s="26">
        <v>8179</v>
      </c>
      <c r="C98" s="27" t="s">
        <v>178</v>
      </c>
      <c r="D98" s="27" t="s">
        <v>179</v>
      </c>
      <c r="E98" s="27" t="s">
        <v>49</v>
      </c>
      <c r="F98" s="28">
        <v>2627</v>
      </c>
      <c r="G98" s="28" t="s">
        <v>39</v>
      </c>
      <c r="H98" s="28" t="s">
        <v>39</v>
      </c>
      <c r="I98" s="28" t="s">
        <v>39</v>
      </c>
      <c r="J98" s="28">
        <v>2627</v>
      </c>
      <c r="K98" s="29" t="s">
        <v>39</v>
      </c>
      <c r="L98" s="29" t="s">
        <v>39</v>
      </c>
      <c r="M98" s="29" t="s">
        <v>39</v>
      </c>
      <c r="N98" s="29" t="s">
        <v>39</v>
      </c>
      <c r="O98" s="29" t="s">
        <v>39</v>
      </c>
      <c r="P98" s="30">
        <v>1</v>
      </c>
      <c r="Q98" s="30" t="s">
        <v>39</v>
      </c>
      <c r="R98" s="30" t="s">
        <v>39</v>
      </c>
      <c r="S98" s="30" t="s">
        <v>39</v>
      </c>
      <c r="T98" s="30">
        <v>1</v>
      </c>
      <c r="U98" s="31" t="s">
        <v>39</v>
      </c>
      <c r="V98" s="31" t="s">
        <v>39</v>
      </c>
      <c r="W98" s="31" t="s">
        <v>39</v>
      </c>
      <c r="X98" s="31" t="s">
        <v>39</v>
      </c>
      <c r="Y98" s="31" t="s">
        <v>39</v>
      </c>
      <c r="Z98" s="32" t="s">
        <v>39</v>
      </c>
      <c r="AA98" s="32" t="s">
        <v>39</v>
      </c>
      <c r="AB98" s="32" t="s">
        <v>39</v>
      </c>
      <c r="AC98" s="32" t="s">
        <v>39</v>
      </c>
      <c r="AD98" s="32" t="s">
        <v>39</v>
      </c>
      <c r="AE98" s="33" t="s">
        <v>39</v>
      </c>
      <c r="AF98" s="33" t="s">
        <v>39</v>
      </c>
      <c r="AG98" s="33" t="s">
        <v>39</v>
      </c>
      <c r="AH98" s="33" t="s">
        <v>39</v>
      </c>
      <c r="AI98" s="33" t="s">
        <v>39</v>
      </c>
      <c r="AJ98" s="34" t="s">
        <v>39</v>
      </c>
    </row>
    <row r="99" spans="1:36" ht="51" customHeight="1" x14ac:dyDescent="0.25">
      <c r="A99" s="25">
        <v>2021</v>
      </c>
      <c r="B99" s="26">
        <v>8210</v>
      </c>
      <c r="C99" s="27" t="s">
        <v>180</v>
      </c>
      <c r="D99" s="27" t="s">
        <v>54</v>
      </c>
      <c r="E99" s="27" t="s">
        <v>38</v>
      </c>
      <c r="F99" s="28">
        <v>28985</v>
      </c>
      <c r="G99" s="28">
        <v>8809</v>
      </c>
      <c r="H99" s="28" t="s">
        <v>39</v>
      </c>
      <c r="I99" s="28" t="s">
        <v>39</v>
      </c>
      <c r="J99" s="28">
        <v>37794</v>
      </c>
      <c r="K99" s="29">
        <v>163</v>
      </c>
      <c r="L99" s="29">
        <v>42</v>
      </c>
      <c r="M99" s="29" t="s">
        <v>39</v>
      </c>
      <c r="N99" s="29" t="s">
        <v>39</v>
      </c>
      <c r="O99" s="29">
        <v>205</v>
      </c>
      <c r="P99" s="30">
        <v>2.4</v>
      </c>
      <c r="Q99" s="30">
        <v>0.6</v>
      </c>
      <c r="R99" s="30" t="s">
        <v>39</v>
      </c>
      <c r="S99" s="30" t="s">
        <v>39</v>
      </c>
      <c r="T99" s="30">
        <v>3</v>
      </c>
      <c r="U99" s="31">
        <v>2.4</v>
      </c>
      <c r="V99" s="31">
        <v>0.6</v>
      </c>
      <c r="W99" s="31" t="s">
        <v>39</v>
      </c>
      <c r="X99" s="31" t="s">
        <v>39</v>
      </c>
      <c r="Y99" s="31">
        <v>3</v>
      </c>
      <c r="Z99" s="32">
        <v>0</v>
      </c>
      <c r="AA99" s="32">
        <v>0</v>
      </c>
      <c r="AB99" s="32" t="s">
        <v>39</v>
      </c>
      <c r="AC99" s="32" t="s">
        <v>39</v>
      </c>
      <c r="AD99" s="32">
        <v>0</v>
      </c>
      <c r="AE99" s="33" t="s">
        <v>39</v>
      </c>
      <c r="AF99" s="33" t="s">
        <v>39</v>
      </c>
      <c r="AG99" s="33" t="s">
        <v>39</v>
      </c>
      <c r="AH99" s="33" t="s">
        <v>39</v>
      </c>
      <c r="AI99" s="33" t="s">
        <v>39</v>
      </c>
      <c r="AJ99" s="34" t="s">
        <v>39</v>
      </c>
    </row>
    <row r="100" spans="1:36" ht="51" customHeight="1" x14ac:dyDescent="0.25">
      <c r="A100" s="25">
        <v>2021</v>
      </c>
      <c r="B100" s="26">
        <v>8287</v>
      </c>
      <c r="C100" s="27" t="s">
        <v>181</v>
      </c>
      <c r="D100" s="27" t="s">
        <v>182</v>
      </c>
      <c r="E100" s="27" t="s">
        <v>46</v>
      </c>
      <c r="F100" s="28">
        <v>5</v>
      </c>
      <c r="G100" s="28" t="s">
        <v>39</v>
      </c>
      <c r="H100" s="28" t="s">
        <v>39</v>
      </c>
      <c r="I100" s="28" t="s">
        <v>39</v>
      </c>
      <c r="J100" s="28">
        <v>5</v>
      </c>
      <c r="K100" s="29">
        <v>0.623</v>
      </c>
      <c r="L100" s="29" t="s">
        <v>39</v>
      </c>
      <c r="M100" s="29" t="s">
        <v>39</v>
      </c>
      <c r="N100" s="29" t="s">
        <v>39</v>
      </c>
      <c r="O100" s="29">
        <v>0.623</v>
      </c>
      <c r="P100" s="30">
        <v>2.1999999999999999E-2</v>
      </c>
      <c r="Q100" s="30" t="s">
        <v>39</v>
      </c>
      <c r="R100" s="30" t="s">
        <v>39</v>
      </c>
      <c r="S100" s="30" t="s">
        <v>39</v>
      </c>
      <c r="T100" s="30">
        <v>2.1999999999999999E-2</v>
      </c>
      <c r="U100" s="31" t="s">
        <v>39</v>
      </c>
      <c r="V100" s="31" t="s">
        <v>39</v>
      </c>
      <c r="W100" s="31" t="s">
        <v>39</v>
      </c>
      <c r="X100" s="31" t="s">
        <v>39</v>
      </c>
      <c r="Y100" s="31" t="s">
        <v>39</v>
      </c>
      <c r="Z100" s="32">
        <v>127.47</v>
      </c>
      <c r="AA100" s="32" t="s">
        <v>39</v>
      </c>
      <c r="AB100" s="32" t="s">
        <v>39</v>
      </c>
      <c r="AC100" s="32" t="s">
        <v>39</v>
      </c>
      <c r="AD100" s="32">
        <v>127.47</v>
      </c>
      <c r="AE100" s="33" t="s">
        <v>39</v>
      </c>
      <c r="AF100" s="33" t="s">
        <v>39</v>
      </c>
      <c r="AG100" s="33" t="s">
        <v>39</v>
      </c>
      <c r="AH100" s="33" t="s">
        <v>39</v>
      </c>
      <c r="AI100" s="33" t="s">
        <v>39</v>
      </c>
      <c r="AJ100" s="34" t="s">
        <v>39</v>
      </c>
    </row>
    <row r="101" spans="1:36" ht="38.450000000000003" customHeight="1" x14ac:dyDescent="0.25">
      <c r="A101" s="25">
        <v>2021</v>
      </c>
      <c r="B101" s="26">
        <v>8319</v>
      </c>
      <c r="C101" s="27" t="s">
        <v>183</v>
      </c>
      <c r="D101" s="27" t="s">
        <v>119</v>
      </c>
      <c r="E101" s="27" t="s">
        <v>49</v>
      </c>
      <c r="F101" s="28">
        <v>2782</v>
      </c>
      <c r="G101" s="28">
        <v>91</v>
      </c>
      <c r="H101" s="28">
        <v>1</v>
      </c>
      <c r="I101" s="28">
        <v>0</v>
      </c>
      <c r="J101" s="28">
        <v>2874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30">
        <v>1.173</v>
      </c>
      <c r="Q101" s="30">
        <v>8.8559999999999999</v>
      </c>
      <c r="R101" s="30">
        <v>7.9000000000000001E-2</v>
      </c>
      <c r="S101" s="30">
        <v>0</v>
      </c>
      <c r="T101" s="30">
        <v>10.108000000000001</v>
      </c>
      <c r="U101" s="31">
        <v>1.0389999999999999</v>
      </c>
      <c r="V101" s="31">
        <v>7.8470000000000004</v>
      </c>
      <c r="W101" s="31">
        <v>7.0000000000000007E-2</v>
      </c>
      <c r="X101" s="31">
        <v>0</v>
      </c>
      <c r="Y101" s="31">
        <v>8.9559999999999995</v>
      </c>
      <c r="Z101" s="32">
        <v>0</v>
      </c>
      <c r="AA101" s="32">
        <v>0</v>
      </c>
      <c r="AB101" s="32">
        <v>0</v>
      </c>
      <c r="AC101" s="32">
        <v>0</v>
      </c>
      <c r="AD101" s="32">
        <v>0</v>
      </c>
      <c r="AE101" s="33">
        <v>68</v>
      </c>
      <c r="AF101" s="33">
        <v>2</v>
      </c>
      <c r="AG101" s="33">
        <v>1</v>
      </c>
      <c r="AH101" s="33">
        <v>0</v>
      </c>
      <c r="AI101" s="33">
        <v>71</v>
      </c>
      <c r="AJ101" s="34">
        <v>0</v>
      </c>
    </row>
    <row r="102" spans="1:36" ht="51" customHeight="1" x14ac:dyDescent="0.25">
      <c r="A102" s="25">
        <v>2021</v>
      </c>
      <c r="B102" s="26">
        <v>8333</v>
      </c>
      <c r="C102" s="27" t="s">
        <v>184</v>
      </c>
      <c r="D102" s="27" t="s">
        <v>79</v>
      </c>
      <c r="E102" s="27" t="s">
        <v>80</v>
      </c>
      <c r="F102" s="28">
        <v>450</v>
      </c>
      <c r="G102" s="28" t="s">
        <v>39</v>
      </c>
      <c r="H102" s="28" t="s">
        <v>39</v>
      </c>
      <c r="I102" s="28" t="s">
        <v>39</v>
      </c>
      <c r="J102" s="28">
        <v>450</v>
      </c>
      <c r="K102" s="29">
        <v>1</v>
      </c>
      <c r="L102" s="29" t="s">
        <v>39</v>
      </c>
      <c r="M102" s="29" t="s">
        <v>39</v>
      </c>
      <c r="N102" s="29" t="s">
        <v>39</v>
      </c>
      <c r="O102" s="29">
        <v>1</v>
      </c>
      <c r="P102" s="30">
        <v>1</v>
      </c>
      <c r="Q102" s="30" t="s">
        <v>39</v>
      </c>
      <c r="R102" s="30" t="s">
        <v>39</v>
      </c>
      <c r="S102" s="30" t="s">
        <v>39</v>
      </c>
      <c r="T102" s="30">
        <v>1</v>
      </c>
      <c r="U102" s="31">
        <v>1</v>
      </c>
      <c r="V102" s="31" t="s">
        <v>39</v>
      </c>
      <c r="W102" s="31" t="s">
        <v>39</v>
      </c>
      <c r="X102" s="31" t="s">
        <v>39</v>
      </c>
      <c r="Y102" s="31">
        <v>1</v>
      </c>
      <c r="Z102" s="32">
        <v>35.840000000000003</v>
      </c>
      <c r="AA102" s="32" t="s">
        <v>39</v>
      </c>
      <c r="AB102" s="32" t="s">
        <v>39</v>
      </c>
      <c r="AC102" s="32" t="s">
        <v>39</v>
      </c>
      <c r="AD102" s="32">
        <v>35.840000000000003</v>
      </c>
      <c r="AE102" s="33" t="s">
        <v>39</v>
      </c>
      <c r="AF102" s="33" t="s">
        <v>39</v>
      </c>
      <c r="AG102" s="33" t="s">
        <v>39</v>
      </c>
      <c r="AH102" s="33" t="s">
        <v>39</v>
      </c>
      <c r="AI102" s="33" t="s">
        <v>39</v>
      </c>
      <c r="AJ102" s="34" t="s">
        <v>39</v>
      </c>
    </row>
    <row r="103" spans="1:36" ht="38.450000000000003" customHeight="1" x14ac:dyDescent="0.25">
      <c r="A103" s="25">
        <v>2021</v>
      </c>
      <c r="B103" s="26">
        <v>8570</v>
      </c>
      <c r="C103" s="27" t="s">
        <v>185</v>
      </c>
      <c r="D103" s="27" t="s">
        <v>107</v>
      </c>
      <c r="E103" s="27" t="s">
        <v>186</v>
      </c>
      <c r="F103" s="28" t="s">
        <v>39</v>
      </c>
      <c r="G103" s="28" t="s">
        <v>39</v>
      </c>
      <c r="H103" s="28">
        <v>373</v>
      </c>
      <c r="I103" s="28" t="s">
        <v>39</v>
      </c>
      <c r="J103" s="28">
        <v>373</v>
      </c>
      <c r="K103" s="29" t="s">
        <v>39</v>
      </c>
      <c r="L103" s="29" t="s">
        <v>39</v>
      </c>
      <c r="M103" s="29" t="s">
        <v>39</v>
      </c>
      <c r="N103" s="29" t="s">
        <v>39</v>
      </c>
      <c r="O103" s="29" t="s">
        <v>39</v>
      </c>
      <c r="P103" s="30" t="s">
        <v>39</v>
      </c>
      <c r="Q103" s="30" t="s">
        <v>39</v>
      </c>
      <c r="R103" s="30">
        <v>22.015999999999998</v>
      </c>
      <c r="S103" s="30" t="s">
        <v>39</v>
      </c>
      <c r="T103" s="30">
        <v>22.015999999999998</v>
      </c>
      <c r="U103" s="31" t="s">
        <v>39</v>
      </c>
      <c r="V103" s="31" t="s">
        <v>39</v>
      </c>
      <c r="W103" s="31" t="s">
        <v>39</v>
      </c>
      <c r="X103" s="31" t="s">
        <v>39</v>
      </c>
      <c r="Y103" s="31" t="s">
        <v>39</v>
      </c>
      <c r="Z103" s="32" t="s">
        <v>39</v>
      </c>
      <c r="AA103" s="32" t="s">
        <v>39</v>
      </c>
      <c r="AB103" s="32">
        <v>359.75</v>
      </c>
      <c r="AC103" s="32" t="s">
        <v>39</v>
      </c>
      <c r="AD103" s="32">
        <v>359.75</v>
      </c>
      <c r="AE103" s="33" t="s">
        <v>39</v>
      </c>
      <c r="AF103" s="33" t="s">
        <v>39</v>
      </c>
      <c r="AG103" s="33">
        <v>34.597999999999999</v>
      </c>
      <c r="AH103" s="33" t="s">
        <v>39</v>
      </c>
      <c r="AI103" s="33">
        <v>34.597999999999999</v>
      </c>
      <c r="AJ103" s="34" t="s">
        <v>39</v>
      </c>
    </row>
    <row r="104" spans="1:36" ht="38.450000000000003" customHeight="1" x14ac:dyDescent="0.25">
      <c r="A104" s="25">
        <v>2021</v>
      </c>
      <c r="B104" s="26">
        <v>8570</v>
      </c>
      <c r="C104" s="27" t="s">
        <v>185</v>
      </c>
      <c r="D104" s="27" t="s">
        <v>89</v>
      </c>
      <c r="E104" s="27" t="s">
        <v>186</v>
      </c>
      <c r="F104" s="28" t="s">
        <v>39</v>
      </c>
      <c r="G104" s="28" t="s">
        <v>39</v>
      </c>
      <c r="H104" s="28">
        <v>191</v>
      </c>
      <c r="I104" s="28" t="s">
        <v>39</v>
      </c>
      <c r="J104" s="28">
        <v>191</v>
      </c>
      <c r="K104" s="29" t="s">
        <v>39</v>
      </c>
      <c r="L104" s="29" t="s">
        <v>39</v>
      </c>
      <c r="M104" s="29" t="s">
        <v>39</v>
      </c>
      <c r="N104" s="29" t="s">
        <v>39</v>
      </c>
      <c r="O104" s="29" t="s">
        <v>39</v>
      </c>
      <c r="P104" s="30" t="s">
        <v>39</v>
      </c>
      <c r="Q104" s="30" t="s">
        <v>39</v>
      </c>
      <c r="R104" s="30">
        <v>31.513999999999999</v>
      </c>
      <c r="S104" s="30" t="s">
        <v>39</v>
      </c>
      <c r="T104" s="30">
        <v>31.513999999999999</v>
      </c>
      <c r="U104" s="31" t="s">
        <v>39</v>
      </c>
      <c r="V104" s="31" t="s">
        <v>39</v>
      </c>
      <c r="W104" s="31" t="s">
        <v>39</v>
      </c>
      <c r="X104" s="31" t="s">
        <v>39</v>
      </c>
      <c r="Y104" s="31" t="s">
        <v>39</v>
      </c>
      <c r="Z104" s="32" t="s">
        <v>39</v>
      </c>
      <c r="AA104" s="32" t="s">
        <v>39</v>
      </c>
      <c r="AB104" s="32">
        <v>155.54300000000001</v>
      </c>
      <c r="AC104" s="32" t="s">
        <v>39</v>
      </c>
      <c r="AD104" s="32">
        <v>155.54300000000001</v>
      </c>
      <c r="AE104" s="33" t="s">
        <v>39</v>
      </c>
      <c r="AF104" s="33" t="s">
        <v>39</v>
      </c>
      <c r="AG104" s="33">
        <v>15.315</v>
      </c>
      <c r="AH104" s="33" t="s">
        <v>39</v>
      </c>
      <c r="AI104" s="33">
        <v>15.315</v>
      </c>
      <c r="AJ104" s="34" t="s">
        <v>39</v>
      </c>
    </row>
    <row r="105" spans="1:36" ht="51" customHeight="1" x14ac:dyDescent="0.25">
      <c r="A105" s="25">
        <v>2021</v>
      </c>
      <c r="B105" s="26">
        <v>8773</v>
      </c>
      <c r="C105" s="27" t="s">
        <v>187</v>
      </c>
      <c r="D105" s="27" t="s">
        <v>107</v>
      </c>
      <c r="E105" s="27" t="s">
        <v>108</v>
      </c>
      <c r="F105" s="28">
        <v>2181</v>
      </c>
      <c r="G105" s="28">
        <v>162</v>
      </c>
      <c r="H105" s="28">
        <v>0</v>
      </c>
      <c r="I105" s="28">
        <v>0</v>
      </c>
      <c r="J105" s="28">
        <v>2343</v>
      </c>
      <c r="K105" s="29">
        <v>43.682000000000002</v>
      </c>
      <c r="L105" s="29">
        <v>57.826999999999998</v>
      </c>
      <c r="M105" s="29">
        <v>0</v>
      </c>
      <c r="N105" s="29">
        <v>0</v>
      </c>
      <c r="O105" s="29">
        <v>101.509</v>
      </c>
      <c r="P105" s="30">
        <v>22.241</v>
      </c>
      <c r="Q105" s="30">
        <v>35.237000000000002</v>
      </c>
      <c r="R105" s="30">
        <v>0</v>
      </c>
      <c r="S105" s="30">
        <v>0</v>
      </c>
      <c r="T105" s="30">
        <v>57.478000000000002</v>
      </c>
      <c r="U105" s="31">
        <v>3.782</v>
      </c>
      <c r="V105" s="31">
        <v>5.0430000000000001</v>
      </c>
      <c r="W105" s="31">
        <v>0</v>
      </c>
      <c r="X105" s="31">
        <v>0</v>
      </c>
      <c r="Y105" s="31">
        <v>8.8249999999999993</v>
      </c>
      <c r="Z105" s="32">
        <v>25.25</v>
      </c>
      <c r="AA105" s="32">
        <v>43.682000000000002</v>
      </c>
      <c r="AB105" s="32">
        <v>0</v>
      </c>
      <c r="AC105" s="32">
        <v>0</v>
      </c>
      <c r="AD105" s="32">
        <v>68.932000000000002</v>
      </c>
      <c r="AE105" s="33">
        <v>4.0090000000000003</v>
      </c>
      <c r="AF105" s="33">
        <v>5.3070000000000004</v>
      </c>
      <c r="AG105" s="33">
        <v>0</v>
      </c>
      <c r="AH105" s="33">
        <v>0</v>
      </c>
      <c r="AI105" s="33">
        <v>9.3160000000000007</v>
      </c>
      <c r="AJ105" s="34" t="s">
        <v>39</v>
      </c>
    </row>
    <row r="106" spans="1:36" ht="38.450000000000003" customHeight="1" x14ac:dyDescent="0.25">
      <c r="A106" s="25">
        <v>2021</v>
      </c>
      <c r="B106" s="26">
        <v>8786</v>
      </c>
      <c r="C106" s="27" t="s">
        <v>188</v>
      </c>
      <c r="D106" s="27" t="s">
        <v>35</v>
      </c>
      <c r="E106" s="27" t="s">
        <v>35</v>
      </c>
      <c r="F106" s="28">
        <v>6159</v>
      </c>
      <c r="G106" s="28" t="s">
        <v>39</v>
      </c>
      <c r="H106" s="28" t="s">
        <v>39</v>
      </c>
      <c r="I106" s="28" t="s">
        <v>39</v>
      </c>
      <c r="J106" s="28">
        <v>6159</v>
      </c>
      <c r="K106" s="29">
        <v>0</v>
      </c>
      <c r="L106" s="29" t="s">
        <v>39</v>
      </c>
      <c r="M106" s="29" t="s">
        <v>39</v>
      </c>
      <c r="N106" s="29" t="s">
        <v>39</v>
      </c>
      <c r="O106" s="29">
        <v>0</v>
      </c>
      <c r="P106" s="30">
        <v>6.28</v>
      </c>
      <c r="Q106" s="30" t="s">
        <v>39</v>
      </c>
      <c r="R106" s="30" t="s">
        <v>39</v>
      </c>
      <c r="S106" s="30" t="s">
        <v>39</v>
      </c>
      <c r="T106" s="30">
        <v>6.28</v>
      </c>
      <c r="U106" s="31">
        <v>6.28</v>
      </c>
      <c r="V106" s="31" t="s">
        <v>39</v>
      </c>
      <c r="W106" s="31" t="s">
        <v>39</v>
      </c>
      <c r="X106" s="31" t="s">
        <v>39</v>
      </c>
      <c r="Y106" s="31">
        <v>6.28</v>
      </c>
      <c r="Z106" s="32">
        <v>19.283000000000001</v>
      </c>
      <c r="AA106" s="32" t="s">
        <v>39</v>
      </c>
      <c r="AB106" s="32" t="s">
        <v>39</v>
      </c>
      <c r="AC106" s="32" t="s">
        <v>39</v>
      </c>
      <c r="AD106" s="32">
        <v>19.283000000000001</v>
      </c>
      <c r="AE106" s="33">
        <v>80.849999999999994</v>
      </c>
      <c r="AF106" s="33" t="s">
        <v>39</v>
      </c>
      <c r="AG106" s="33" t="s">
        <v>39</v>
      </c>
      <c r="AH106" s="33" t="s">
        <v>39</v>
      </c>
      <c r="AI106" s="33">
        <v>80.849999999999994</v>
      </c>
      <c r="AJ106" s="34">
        <v>211</v>
      </c>
    </row>
    <row r="107" spans="1:36" ht="38.450000000000003" customHeight="1" x14ac:dyDescent="0.25">
      <c r="A107" s="25">
        <v>2021</v>
      </c>
      <c r="B107" s="26">
        <v>8901</v>
      </c>
      <c r="C107" s="27" t="s">
        <v>189</v>
      </c>
      <c r="D107" s="27" t="s">
        <v>67</v>
      </c>
      <c r="E107" s="27" t="s">
        <v>68</v>
      </c>
      <c r="F107" s="28">
        <v>21492</v>
      </c>
      <c r="G107" s="28">
        <v>303</v>
      </c>
      <c r="H107" s="28" t="s">
        <v>39</v>
      </c>
      <c r="I107" s="28" t="s">
        <v>39</v>
      </c>
      <c r="J107" s="28">
        <v>21795</v>
      </c>
      <c r="K107" s="29">
        <v>144.672</v>
      </c>
      <c r="L107" s="29">
        <v>785.82299999999998</v>
      </c>
      <c r="M107" s="29" t="s">
        <v>39</v>
      </c>
      <c r="N107" s="29" t="s">
        <v>39</v>
      </c>
      <c r="O107" s="29">
        <v>930.495</v>
      </c>
      <c r="P107" s="30">
        <v>24.111999999999998</v>
      </c>
      <c r="Q107" s="30">
        <v>130.971</v>
      </c>
      <c r="R107" s="30" t="s">
        <v>39</v>
      </c>
      <c r="S107" s="30" t="s">
        <v>39</v>
      </c>
      <c r="T107" s="30">
        <v>155.083</v>
      </c>
      <c r="U107" s="31">
        <v>24.111999999999998</v>
      </c>
      <c r="V107" s="31">
        <v>130.971</v>
      </c>
      <c r="W107" s="31" t="s">
        <v>39</v>
      </c>
      <c r="X107" s="31" t="s">
        <v>39</v>
      </c>
      <c r="Y107" s="31">
        <v>155.083</v>
      </c>
      <c r="Z107" s="32">
        <v>910.74199999999996</v>
      </c>
      <c r="AA107" s="32">
        <v>3294.6129999999998</v>
      </c>
      <c r="AB107" s="32" t="s">
        <v>39</v>
      </c>
      <c r="AC107" s="32" t="s">
        <v>39</v>
      </c>
      <c r="AD107" s="32">
        <v>4205.3549999999996</v>
      </c>
      <c r="AE107" s="33">
        <v>91.021000000000001</v>
      </c>
      <c r="AF107" s="33">
        <v>235.49799999999999</v>
      </c>
      <c r="AG107" s="33" t="s">
        <v>39</v>
      </c>
      <c r="AH107" s="33" t="s">
        <v>39</v>
      </c>
      <c r="AI107" s="33">
        <v>326.51900000000001</v>
      </c>
      <c r="AJ107" s="34" t="s">
        <v>39</v>
      </c>
    </row>
    <row r="108" spans="1:36" ht="38.450000000000003" customHeight="1" x14ac:dyDescent="0.25">
      <c r="A108" s="25">
        <v>2021</v>
      </c>
      <c r="B108" s="26">
        <v>9191</v>
      </c>
      <c r="C108" s="27" t="s">
        <v>190</v>
      </c>
      <c r="D108" s="27" t="s">
        <v>191</v>
      </c>
      <c r="E108" s="27" t="s">
        <v>192</v>
      </c>
      <c r="F108" s="28">
        <v>20602</v>
      </c>
      <c r="G108" s="28">
        <v>130</v>
      </c>
      <c r="H108" s="28">
        <v>2187</v>
      </c>
      <c r="I108" s="28">
        <v>0</v>
      </c>
      <c r="J108" s="28">
        <v>22919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30">
        <v>26.3</v>
      </c>
      <c r="Q108" s="30">
        <v>22.6</v>
      </c>
      <c r="R108" s="30">
        <v>283.8</v>
      </c>
      <c r="S108" s="30">
        <v>0</v>
      </c>
      <c r="T108" s="30">
        <v>332.7</v>
      </c>
      <c r="U108" s="31">
        <v>24.1</v>
      </c>
      <c r="V108" s="31">
        <v>21.7</v>
      </c>
      <c r="W108" s="31">
        <v>225.3</v>
      </c>
      <c r="X108" s="31">
        <v>0</v>
      </c>
      <c r="Y108" s="31">
        <v>271.10000000000002</v>
      </c>
      <c r="Z108" s="32">
        <v>306</v>
      </c>
      <c r="AA108" s="32">
        <v>226</v>
      </c>
      <c r="AB108" s="32">
        <v>6601</v>
      </c>
      <c r="AC108" s="32">
        <v>0</v>
      </c>
      <c r="AD108" s="32">
        <v>7133</v>
      </c>
      <c r="AE108" s="33">
        <v>420</v>
      </c>
      <c r="AF108" s="33">
        <v>101</v>
      </c>
      <c r="AG108" s="33">
        <v>245</v>
      </c>
      <c r="AH108" s="33">
        <v>0</v>
      </c>
      <c r="AI108" s="33">
        <v>766</v>
      </c>
      <c r="AJ108" s="34">
        <v>0</v>
      </c>
    </row>
    <row r="109" spans="1:36" ht="38.450000000000003" customHeight="1" x14ac:dyDescent="0.25">
      <c r="A109" s="25">
        <v>2021</v>
      </c>
      <c r="B109" s="26">
        <v>9191</v>
      </c>
      <c r="C109" s="27" t="s">
        <v>190</v>
      </c>
      <c r="D109" s="27" t="s">
        <v>193</v>
      </c>
      <c r="E109" s="27" t="s">
        <v>192</v>
      </c>
      <c r="F109" s="28">
        <v>244</v>
      </c>
      <c r="G109" s="28">
        <v>9</v>
      </c>
      <c r="H109" s="28">
        <v>48</v>
      </c>
      <c r="I109" s="28">
        <v>0</v>
      </c>
      <c r="J109" s="28">
        <v>301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30">
        <v>0.3</v>
      </c>
      <c r="Q109" s="30">
        <v>11.1</v>
      </c>
      <c r="R109" s="30">
        <v>8</v>
      </c>
      <c r="S109" s="30">
        <v>0</v>
      </c>
      <c r="T109" s="30">
        <v>19.399999999999999</v>
      </c>
      <c r="U109" s="31">
        <v>0.3</v>
      </c>
      <c r="V109" s="31">
        <v>5</v>
      </c>
      <c r="W109" s="31">
        <v>7.9</v>
      </c>
      <c r="X109" s="31">
        <v>0</v>
      </c>
      <c r="Y109" s="31">
        <v>13.2</v>
      </c>
      <c r="Z109" s="32">
        <v>4</v>
      </c>
      <c r="AA109" s="32">
        <v>170</v>
      </c>
      <c r="AB109" s="32">
        <v>154</v>
      </c>
      <c r="AC109" s="32">
        <v>0</v>
      </c>
      <c r="AD109" s="32">
        <v>328</v>
      </c>
      <c r="AE109" s="33">
        <v>22</v>
      </c>
      <c r="AF109" s="33">
        <v>5</v>
      </c>
      <c r="AG109" s="33">
        <v>13</v>
      </c>
      <c r="AH109" s="33">
        <v>0</v>
      </c>
      <c r="AI109" s="33">
        <v>40</v>
      </c>
      <c r="AJ109" s="34">
        <v>0</v>
      </c>
    </row>
    <row r="110" spans="1:36" ht="38.450000000000003" customHeight="1" x14ac:dyDescent="0.25">
      <c r="A110" s="25">
        <v>2021</v>
      </c>
      <c r="B110" s="26">
        <v>9267</v>
      </c>
      <c r="C110" s="27" t="s">
        <v>194</v>
      </c>
      <c r="D110" s="27" t="s">
        <v>179</v>
      </c>
      <c r="E110" s="27" t="s">
        <v>49</v>
      </c>
      <c r="F110" s="28">
        <v>17045</v>
      </c>
      <c r="G110" s="28">
        <v>0</v>
      </c>
      <c r="H110" s="28">
        <v>0</v>
      </c>
      <c r="I110" s="28">
        <v>0</v>
      </c>
      <c r="J110" s="28">
        <v>17045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30">
        <v>3.4550000000000001</v>
      </c>
      <c r="Q110" s="30">
        <v>0</v>
      </c>
      <c r="R110" s="30">
        <v>0</v>
      </c>
      <c r="S110" s="30">
        <v>0</v>
      </c>
      <c r="T110" s="30">
        <v>3.4550000000000001</v>
      </c>
      <c r="U110" s="31">
        <v>3.4550000000000001</v>
      </c>
      <c r="V110" s="31">
        <v>0</v>
      </c>
      <c r="W110" s="31">
        <v>0</v>
      </c>
      <c r="X110" s="31">
        <v>0</v>
      </c>
      <c r="Y110" s="31">
        <v>3.4550000000000001</v>
      </c>
      <c r="Z110" s="32">
        <v>4.25</v>
      </c>
      <c r="AA110" s="32">
        <v>0</v>
      </c>
      <c r="AB110" s="32">
        <v>0</v>
      </c>
      <c r="AC110" s="32">
        <v>0</v>
      </c>
      <c r="AD110" s="32">
        <v>4.25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4" t="s">
        <v>39</v>
      </c>
    </row>
    <row r="111" spans="1:36" ht="51" customHeight="1" x14ac:dyDescent="0.25">
      <c r="A111" s="25">
        <v>2021</v>
      </c>
      <c r="B111" s="26">
        <v>9273</v>
      </c>
      <c r="C111" s="27" t="s">
        <v>195</v>
      </c>
      <c r="D111" s="27" t="s">
        <v>179</v>
      </c>
      <c r="E111" s="27" t="s">
        <v>49</v>
      </c>
      <c r="F111" s="28">
        <v>52441</v>
      </c>
      <c r="G111" s="28">
        <v>351</v>
      </c>
      <c r="H111" s="28" t="s">
        <v>39</v>
      </c>
      <c r="I111" s="28" t="s">
        <v>39</v>
      </c>
      <c r="J111" s="28">
        <v>52792</v>
      </c>
      <c r="K111" s="29">
        <v>1791</v>
      </c>
      <c r="L111" s="29">
        <v>0</v>
      </c>
      <c r="M111" s="29" t="s">
        <v>39</v>
      </c>
      <c r="N111" s="29" t="s">
        <v>39</v>
      </c>
      <c r="O111" s="29">
        <v>1791</v>
      </c>
      <c r="P111" s="30">
        <v>44.89</v>
      </c>
      <c r="Q111" s="30">
        <v>0.78</v>
      </c>
      <c r="R111" s="30" t="s">
        <v>39</v>
      </c>
      <c r="S111" s="30" t="s">
        <v>39</v>
      </c>
      <c r="T111" s="30">
        <v>45.67</v>
      </c>
      <c r="U111" s="31">
        <v>35.07</v>
      </c>
      <c r="V111" s="31">
        <v>0.19</v>
      </c>
      <c r="W111" s="31" t="s">
        <v>39</v>
      </c>
      <c r="X111" s="31" t="s">
        <v>39</v>
      </c>
      <c r="Y111" s="31">
        <v>35.26</v>
      </c>
      <c r="Z111" s="32">
        <v>1299.4000000000001</v>
      </c>
      <c r="AA111" s="32">
        <v>13.5</v>
      </c>
      <c r="AB111" s="32" t="s">
        <v>39</v>
      </c>
      <c r="AC111" s="32" t="s">
        <v>39</v>
      </c>
      <c r="AD111" s="32">
        <v>1312.9</v>
      </c>
      <c r="AE111" s="33">
        <v>1481.1</v>
      </c>
      <c r="AF111" s="33">
        <v>8973.7000000000007</v>
      </c>
      <c r="AG111" s="33" t="s">
        <v>39</v>
      </c>
      <c r="AH111" s="33" t="s">
        <v>39</v>
      </c>
      <c r="AI111" s="33">
        <v>10454.799999999999</v>
      </c>
      <c r="AJ111" s="34" t="s">
        <v>39</v>
      </c>
    </row>
    <row r="112" spans="1:36" ht="51" customHeight="1" x14ac:dyDescent="0.25">
      <c r="A112" s="25">
        <v>2021</v>
      </c>
      <c r="B112" s="26">
        <v>9286</v>
      </c>
      <c r="C112" s="27" t="s">
        <v>196</v>
      </c>
      <c r="D112" s="27" t="s">
        <v>105</v>
      </c>
      <c r="E112" s="27" t="s">
        <v>49</v>
      </c>
      <c r="F112" s="28" t="s">
        <v>39</v>
      </c>
      <c r="G112" s="28">
        <v>3</v>
      </c>
      <c r="H112" s="28" t="s">
        <v>39</v>
      </c>
      <c r="I112" s="28" t="s">
        <v>39</v>
      </c>
      <c r="J112" s="28">
        <v>3</v>
      </c>
      <c r="K112" s="29" t="s">
        <v>39</v>
      </c>
      <c r="L112" s="29">
        <v>0</v>
      </c>
      <c r="M112" s="29" t="s">
        <v>39</v>
      </c>
      <c r="N112" s="29" t="s">
        <v>39</v>
      </c>
      <c r="O112" s="29">
        <v>0</v>
      </c>
      <c r="P112" s="30" t="s">
        <v>39</v>
      </c>
      <c r="Q112" s="30">
        <v>1.25</v>
      </c>
      <c r="R112" s="30" t="s">
        <v>39</v>
      </c>
      <c r="S112" s="30" t="s">
        <v>39</v>
      </c>
      <c r="T112" s="30">
        <v>1.25</v>
      </c>
      <c r="U112" s="31" t="s">
        <v>39</v>
      </c>
      <c r="V112" s="31">
        <v>0</v>
      </c>
      <c r="W112" s="31" t="s">
        <v>39</v>
      </c>
      <c r="X112" s="31" t="s">
        <v>39</v>
      </c>
      <c r="Y112" s="31">
        <v>0</v>
      </c>
      <c r="Z112" s="32" t="s">
        <v>39</v>
      </c>
      <c r="AA112" s="32">
        <v>63.8</v>
      </c>
      <c r="AB112" s="32" t="s">
        <v>39</v>
      </c>
      <c r="AC112" s="32" t="s">
        <v>39</v>
      </c>
      <c r="AD112" s="32">
        <v>63.8</v>
      </c>
      <c r="AE112" s="33" t="s">
        <v>39</v>
      </c>
      <c r="AF112" s="33">
        <v>0</v>
      </c>
      <c r="AG112" s="33" t="s">
        <v>39</v>
      </c>
      <c r="AH112" s="33" t="s">
        <v>39</v>
      </c>
      <c r="AI112" s="33">
        <v>0</v>
      </c>
      <c r="AJ112" s="34" t="s">
        <v>39</v>
      </c>
    </row>
    <row r="113" spans="1:36" ht="51" customHeight="1" x14ac:dyDescent="0.25">
      <c r="A113" s="25">
        <v>2021</v>
      </c>
      <c r="B113" s="26">
        <v>9324</v>
      </c>
      <c r="C113" s="27" t="s">
        <v>197</v>
      </c>
      <c r="D113" s="27" t="s">
        <v>179</v>
      </c>
      <c r="E113" s="27" t="s">
        <v>52</v>
      </c>
      <c r="F113" s="28">
        <v>2760</v>
      </c>
      <c r="G113" s="28">
        <v>0</v>
      </c>
      <c r="H113" s="28">
        <v>0</v>
      </c>
      <c r="I113" s="28">
        <v>0</v>
      </c>
      <c r="J113" s="28">
        <v>2760</v>
      </c>
      <c r="K113" s="29">
        <v>32</v>
      </c>
      <c r="L113" s="29">
        <v>0</v>
      </c>
      <c r="M113" s="29">
        <v>0</v>
      </c>
      <c r="N113" s="29">
        <v>0</v>
      </c>
      <c r="O113" s="29">
        <v>32</v>
      </c>
      <c r="P113" s="30">
        <v>3</v>
      </c>
      <c r="Q113" s="30">
        <v>0</v>
      </c>
      <c r="R113" s="30">
        <v>0</v>
      </c>
      <c r="S113" s="30">
        <v>0</v>
      </c>
      <c r="T113" s="30">
        <v>3</v>
      </c>
      <c r="U113" s="31">
        <v>3</v>
      </c>
      <c r="V113" s="31">
        <v>0</v>
      </c>
      <c r="W113" s="31">
        <v>0</v>
      </c>
      <c r="X113" s="31">
        <v>0</v>
      </c>
      <c r="Y113" s="31">
        <v>3</v>
      </c>
      <c r="Z113" s="32">
        <v>69</v>
      </c>
      <c r="AA113" s="32">
        <v>0</v>
      </c>
      <c r="AB113" s="32">
        <v>0</v>
      </c>
      <c r="AC113" s="32">
        <v>0</v>
      </c>
      <c r="AD113" s="32">
        <v>69</v>
      </c>
      <c r="AE113" s="33">
        <v>206</v>
      </c>
      <c r="AF113" s="33">
        <v>0</v>
      </c>
      <c r="AG113" s="33">
        <v>0</v>
      </c>
      <c r="AH113" s="33">
        <v>0</v>
      </c>
      <c r="AI113" s="33">
        <v>206</v>
      </c>
      <c r="AJ113" s="34" t="s">
        <v>39</v>
      </c>
    </row>
    <row r="114" spans="1:36" ht="51" customHeight="1" x14ac:dyDescent="0.25">
      <c r="A114" s="25">
        <v>2021</v>
      </c>
      <c r="B114" s="26">
        <v>9324</v>
      </c>
      <c r="C114" s="27" t="s">
        <v>197</v>
      </c>
      <c r="D114" s="27" t="s">
        <v>116</v>
      </c>
      <c r="E114" s="27" t="s">
        <v>52</v>
      </c>
      <c r="F114" s="28">
        <v>643</v>
      </c>
      <c r="G114" s="28">
        <v>0</v>
      </c>
      <c r="H114" s="28">
        <v>0</v>
      </c>
      <c r="I114" s="28">
        <v>0</v>
      </c>
      <c r="J114" s="28">
        <v>643</v>
      </c>
      <c r="K114" s="29">
        <v>7</v>
      </c>
      <c r="L114" s="29">
        <v>0</v>
      </c>
      <c r="M114" s="29">
        <v>0</v>
      </c>
      <c r="N114" s="29">
        <v>0</v>
      </c>
      <c r="O114" s="29">
        <v>7</v>
      </c>
      <c r="P114" s="30">
        <v>0.6</v>
      </c>
      <c r="Q114" s="30">
        <v>0</v>
      </c>
      <c r="R114" s="30">
        <v>0</v>
      </c>
      <c r="S114" s="30">
        <v>0</v>
      </c>
      <c r="T114" s="30">
        <v>0.6</v>
      </c>
      <c r="U114" s="31">
        <v>0.5</v>
      </c>
      <c r="V114" s="31">
        <v>0</v>
      </c>
      <c r="W114" s="31">
        <v>0</v>
      </c>
      <c r="X114" s="31">
        <v>0</v>
      </c>
      <c r="Y114" s="31">
        <v>0.5</v>
      </c>
      <c r="Z114" s="32">
        <v>14</v>
      </c>
      <c r="AA114" s="32">
        <v>0</v>
      </c>
      <c r="AB114" s="32">
        <v>0</v>
      </c>
      <c r="AC114" s="32">
        <v>0</v>
      </c>
      <c r="AD114" s="32">
        <v>14</v>
      </c>
      <c r="AE114" s="33">
        <v>178</v>
      </c>
      <c r="AF114" s="33">
        <v>18</v>
      </c>
      <c r="AG114" s="33">
        <v>0</v>
      </c>
      <c r="AH114" s="33">
        <v>0</v>
      </c>
      <c r="AI114" s="33">
        <v>196</v>
      </c>
      <c r="AJ114" s="34" t="s">
        <v>39</v>
      </c>
    </row>
    <row r="115" spans="1:36" ht="51" customHeight="1" x14ac:dyDescent="0.25">
      <c r="A115" s="25">
        <v>2021</v>
      </c>
      <c r="B115" s="26">
        <v>9417</v>
      </c>
      <c r="C115" s="27" t="s">
        <v>198</v>
      </c>
      <c r="D115" s="27" t="s">
        <v>119</v>
      </c>
      <c r="E115" s="27" t="s">
        <v>49</v>
      </c>
      <c r="F115" s="28">
        <v>41514</v>
      </c>
      <c r="G115" s="28">
        <v>69</v>
      </c>
      <c r="H115" s="28">
        <v>77</v>
      </c>
      <c r="I115" s="28" t="s">
        <v>39</v>
      </c>
      <c r="J115" s="28">
        <v>41660</v>
      </c>
      <c r="K115" s="29">
        <v>913.25400000000002</v>
      </c>
      <c r="L115" s="29">
        <v>150.44900000000001</v>
      </c>
      <c r="M115" s="29">
        <v>597.05100000000004</v>
      </c>
      <c r="N115" s="29" t="s">
        <v>39</v>
      </c>
      <c r="O115" s="29">
        <v>1660.7539999999999</v>
      </c>
      <c r="P115" s="30">
        <v>33.613999999999997</v>
      </c>
      <c r="Q115" s="30">
        <v>40.801000000000002</v>
      </c>
      <c r="R115" s="30">
        <v>161.91900000000001</v>
      </c>
      <c r="S115" s="30" t="s">
        <v>39</v>
      </c>
      <c r="T115" s="30">
        <v>236.334</v>
      </c>
      <c r="U115" s="31" t="s">
        <v>39</v>
      </c>
      <c r="V115" s="31" t="s">
        <v>39</v>
      </c>
      <c r="W115" s="31" t="s">
        <v>39</v>
      </c>
      <c r="X115" s="31" t="s">
        <v>39</v>
      </c>
      <c r="Y115" s="31" t="s">
        <v>39</v>
      </c>
      <c r="Z115" s="32">
        <v>1653.1420000000001</v>
      </c>
      <c r="AA115" s="32">
        <v>3265.8429999999998</v>
      </c>
      <c r="AB115" s="32">
        <v>12960.406999999999</v>
      </c>
      <c r="AC115" s="32" t="s">
        <v>39</v>
      </c>
      <c r="AD115" s="32">
        <v>17879.392</v>
      </c>
      <c r="AE115" s="33">
        <v>1095.2550000000001</v>
      </c>
      <c r="AF115" s="33">
        <v>27.856000000000002</v>
      </c>
      <c r="AG115" s="33">
        <v>31.085000000000001</v>
      </c>
      <c r="AH115" s="33" t="s">
        <v>39</v>
      </c>
      <c r="AI115" s="33">
        <v>1154.1959999999999</v>
      </c>
      <c r="AJ115" s="34">
        <v>0</v>
      </c>
    </row>
    <row r="116" spans="1:36" ht="51" customHeight="1" x14ac:dyDescent="0.25">
      <c r="A116" s="25">
        <v>2021</v>
      </c>
      <c r="B116" s="26">
        <v>9431</v>
      </c>
      <c r="C116" s="27" t="s">
        <v>199</v>
      </c>
      <c r="D116" s="27" t="s">
        <v>54</v>
      </c>
      <c r="E116" s="27" t="s">
        <v>38</v>
      </c>
      <c r="F116" s="28" t="s">
        <v>39</v>
      </c>
      <c r="G116" s="28" t="s">
        <v>39</v>
      </c>
      <c r="H116" s="28">
        <v>605</v>
      </c>
      <c r="I116" s="28" t="s">
        <v>39</v>
      </c>
      <c r="J116" s="28">
        <v>605</v>
      </c>
      <c r="K116" s="29" t="s">
        <v>39</v>
      </c>
      <c r="L116" s="29" t="s">
        <v>39</v>
      </c>
      <c r="M116" s="29">
        <v>0</v>
      </c>
      <c r="N116" s="29" t="s">
        <v>39</v>
      </c>
      <c r="O116" s="29">
        <v>0</v>
      </c>
      <c r="P116" s="30" t="s">
        <v>39</v>
      </c>
      <c r="Q116" s="30" t="s">
        <v>39</v>
      </c>
      <c r="R116" s="30">
        <v>45.4</v>
      </c>
      <c r="S116" s="30" t="s">
        <v>39</v>
      </c>
      <c r="T116" s="30">
        <v>45.4</v>
      </c>
      <c r="U116" s="31" t="s">
        <v>39</v>
      </c>
      <c r="V116" s="31" t="s">
        <v>39</v>
      </c>
      <c r="W116" s="31">
        <v>0</v>
      </c>
      <c r="X116" s="31" t="s">
        <v>39</v>
      </c>
      <c r="Y116" s="31">
        <v>0</v>
      </c>
      <c r="Z116" s="32" t="s">
        <v>39</v>
      </c>
      <c r="AA116" s="32" t="s">
        <v>39</v>
      </c>
      <c r="AB116" s="32" t="s">
        <v>39</v>
      </c>
      <c r="AC116" s="32" t="s">
        <v>39</v>
      </c>
      <c r="AD116" s="32" t="s">
        <v>39</v>
      </c>
      <c r="AE116" s="33" t="s">
        <v>39</v>
      </c>
      <c r="AF116" s="33" t="s">
        <v>39</v>
      </c>
      <c r="AG116" s="33">
        <v>25</v>
      </c>
      <c r="AH116" s="33" t="s">
        <v>39</v>
      </c>
      <c r="AI116" s="33">
        <v>25</v>
      </c>
      <c r="AJ116" s="34" t="s">
        <v>39</v>
      </c>
    </row>
    <row r="117" spans="1:36" ht="63.6" customHeight="1" x14ac:dyDescent="0.25">
      <c r="A117" s="25">
        <v>2021</v>
      </c>
      <c r="B117" s="26">
        <v>9576</v>
      </c>
      <c r="C117" s="27" t="s">
        <v>200</v>
      </c>
      <c r="D117" s="27" t="s">
        <v>179</v>
      </c>
      <c r="E117" s="27" t="s">
        <v>49</v>
      </c>
      <c r="F117" s="28" t="s">
        <v>39</v>
      </c>
      <c r="G117" s="28" t="s">
        <v>39</v>
      </c>
      <c r="H117" s="28" t="s">
        <v>39</v>
      </c>
      <c r="I117" s="28" t="s">
        <v>39</v>
      </c>
      <c r="J117" s="28" t="s">
        <v>39</v>
      </c>
      <c r="K117" s="29" t="s">
        <v>39</v>
      </c>
      <c r="L117" s="29" t="s">
        <v>39</v>
      </c>
      <c r="M117" s="29" t="s">
        <v>39</v>
      </c>
      <c r="N117" s="29" t="s">
        <v>39</v>
      </c>
      <c r="O117" s="29" t="s">
        <v>39</v>
      </c>
      <c r="P117" s="30" t="s">
        <v>39</v>
      </c>
      <c r="Q117" s="30" t="s">
        <v>39</v>
      </c>
      <c r="R117" s="30" t="s">
        <v>39</v>
      </c>
      <c r="S117" s="30" t="s">
        <v>39</v>
      </c>
      <c r="T117" s="30" t="s">
        <v>39</v>
      </c>
      <c r="U117" s="31" t="s">
        <v>39</v>
      </c>
      <c r="V117" s="31" t="s">
        <v>39</v>
      </c>
      <c r="W117" s="31" t="s">
        <v>39</v>
      </c>
      <c r="X117" s="31" t="s">
        <v>39</v>
      </c>
      <c r="Y117" s="31" t="s">
        <v>39</v>
      </c>
      <c r="Z117" s="32" t="s">
        <v>39</v>
      </c>
      <c r="AA117" s="32" t="s">
        <v>39</v>
      </c>
      <c r="AB117" s="32" t="s">
        <v>39</v>
      </c>
      <c r="AC117" s="32" t="s">
        <v>39</v>
      </c>
      <c r="AD117" s="32" t="s">
        <v>39</v>
      </c>
      <c r="AE117" s="33">
        <v>18.84</v>
      </c>
      <c r="AF117" s="33" t="s">
        <v>39</v>
      </c>
      <c r="AG117" s="33" t="s">
        <v>39</v>
      </c>
      <c r="AH117" s="33" t="s">
        <v>39</v>
      </c>
      <c r="AI117" s="33">
        <v>18.84</v>
      </c>
      <c r="AJ117" s="34" t="s">
        <v>39</v>
      </c>
    </row>
    <row r="118" spans="1:36" ht="51" customHeight="1" x14ac:dyDescent="0.25">
      <c r="A118" s="25">
        <v>2021</v>
      </c>
      <c r="B118" s="26">
        <v>9590</v>
      </c>
      <c r="C118" s="27" t="s">
        <v>201</v>
      </c>
      <c r="D118" s="27" t="s">
        <v>67</v>
      </c>
      <c r="E118" s="27" t="s">
        <v>68</v>
      </c>
      <c r="F118" s="28" t="s">
        <v>39</v>
      </c>
      <c r="G118" s="28" t="s">
        <v>39</v>
      </c>
      <c r="H118" s="28">
        <v>10</v>
      </c>
      <c r="I118" s="28" t="s">
        <v>39</v>
      </c>
      <c r="J118" s="28">
        <v>10</v>
      </c>
      <c r="K118" s="29" t="s">
        <v>39</v>
      </c>
      <c r="L118" s="29" t="s">
        <v>39</v>
      </c>
      <c r="M118" s="29" t="s">
        <v>39</v>
      </c>
      <c r="N118" s="29" t="s">
        <v>39</v>
      </c>
      <c r="O118" s="29" t="s">
        <v>39</v>
      </c>
      <c r="P118" s="30" t="s">
        <v>39</v>
      </c>
      <c r="Q118" s="30" t="s">
        <v>39</v>
      </c>
      <c r="R118" s="30">
        <v>40</v>
      </c>
      <c r="S118" s="30" t="s">
        <v>39</v>
      </c>
      <c r="T118" s="30">
        <v>40</v>
      </c>
      <c r="U118" s="31" t="s">
        <v>39</v>
      </c>
      <c r="V118" s="31" t="s">
        <v>39</v>
      </c>
      <c r="W118" s="31">
        <v>35</v>
      </c>
      <c r="X118" s="31" t="s">
        <v>39</v>
      </c>
      <c r="Y118" s="31">
        <v>35</v>
      </c>
      <c r="Z118" s="32" t="s">
        <v>39</v>
      </c>
      <c r="AA118" s="32" t="s">
        <v>39</v>
      </c>
      <c r="AB118" s="32">
        <v>1723</v>
      </c>
      <c r="AC118" s="32" t="s">
        <v>39</v>
      </c>
      <c r="AD118" s="32">
        <v>1723</v>
      </c>
      <c r="AE118" s="33" t="s">
        <v>39</v>
      </c>
      <c r="AF118" s="33" t="s">
        <v>39</v>
      </c>
      <c r="AG118" s="33" t="s">
        <v>39</v>
      </c>
      <c r="AH118" s="33" t="s">
        <v>39</v>
      </c>
      <c r="AI118" s="33" t="s">
        <v>39</v>
      </c>
      <c r="AJ118" s="34" t="s">
        <v>39</v>
      </c>
    </row>
    <row r="119" spans="1:36" ht="63.6" customHeight="1" x14ac:dyDescent="0.25">
      <c r="A119" s="25">
        <v>2021</v>
      </c>
      <c r="B119" s="26">
        <v>9601</v>
      </c>
      <c r="C119" s="27" t="s">
        <v>202</v>
      </c>
      <c r="D119" s="27" t="s">
        <v>54</v>
      </c>
      <c r="E119" s="27" t="s">
        <v>38</v>
      </c>
      <c r="F119" s="28">
        <v>21681</v>
      </c>
      <c r="G119" s="28">
        <v>2409</v>
      </c>
      <c r="H119" s="28" t="s">
        <v>39</v>
      </c>
      <c r="I119" s="28" t="s">
        <v>39</v>
      </c>
      <c r="J119" s="28">
        <v>24090</v>
      </c>
      <c r="K119" s="29">
        <v>0</v>
      </c>
      <c r="L119" s="29">
        <v>0</v>
      </c>
      <c r="M119" s="29" t="s">
        <v>39</v>
      </c>
      <c r="N119" s="29" t="s">
        <v>39</v>
      </c>
      <c r="O119" s="29">
        <v>0</v>
      </c>
      <c r="P119" s="30">
        <v>11</v>
      </c>
      <c r="Q119" s="30">
        <v>1</v>
      </c>
      <c r="R119" s="30" t="s">
        <v>39</v>
      </c>
      <c r="S119" s="30" t="s">
        <v>39</v>
      </c>
      <c r="T119" s="30">
        <v>12</v>
      </c>
      <c r="U119" s="31">
        <v>11</v>
      </c>
      <c r="V119" s="31">
        <v>1</v>
      </c>
      <c r="W119" s="31" t="s">
        <v>39</v>
      </c>
      <c r="X119" s="31" t="s">
        <v>39</v>
      </c>
      <c r="Y119" s="31">
        <v>12</v>
      </c>
      <c r="Z119" s="32">
        <v>398</v>
      </c>
      <c r="AA119" s="32">
        <v>44</v>
      </c>
      <c r="AB119" s="32" t="s">
        <v>39</v>
      </c>
      <c r="AC119" s="32" t="s">
        <v>39</v>
      </c>
      <c r="AD119" s="32">
        <v>442</v>
      </c>
      <c r="AE119" s="33">
        <v>1</v>
      </c>
      <c r="AF119" s="33">
        <v>0</v>
      </c>
      <c r="AG119" s="33" t="s">
        <v>39</v>
      </c>
      <c r="AH119" s="33" t="s">
        <v>39</v>
      </c>
      <c r="AI119" s="33">
        <v>1</v>
      </c>
      <c r="AJ119" s="34">
        <v>507</v>
      </c>
    </row>
    <row r="120" spans="1:36" x14ac:dyDescent="0.25">
      <c r="A120" s="25">
        <v>2021</v>
      </c>
      <c r="B120" s="26">
        <v>9617</v>
      </c>
      <c r="C120" s="27" t="s">
        <v>203</v>
      </c>
      <c r="D120" s="27" t="s">
        <v>98</v>
      </c>
      <c r="E120" s="27" t="s">
        <v>203</v>
      </c>
      <c r="F120" s="28" t="s">
        <v>39</v>
      </c>
      <c r="G120" s="28" t="s">
        <v>39</v>
      </c>
      <c r="H120" s="28">
        <v>33</v>
      </c>
      <c r="I120" s="28" t="s">
        <v>39</v>
      </c>
      <c r="J120" s="28">
        <v>33</v>
      </c>
      <c r="K120" s="29" t="s">
        <v>39</v>
      </c>
      <c r="L120" s="29" t="s">
        <v>39</v>
      </c>
      <c r="M120" s="29" t="s">
        <v>39</v>
      </c>
      <c r="N120" s="29" t="s">
        <v>39</v>
      </c>
      <c r="O120" s="29" t="s">
        <v>39</v>
      </c>
      <c r="P120" s="30" t="s">
        <v>39</v>
      </c>
      <c r="Q120" s="30" t="s">
        <v>39</v>
      </c>
      <c r="R120" s="30">
        <v>154.38499999999999</v>
      </c>
      <c r="S120" s="30" t="s">
        <v>39</v>
      </c>
      <c r="T120" s="30">
        <v>154.38499999999999</v>
      </c>
      <c r="U120" s="31" t="s">
        <v>39</v>
      </c>
      <c r="V120" s="31" t="s">
        <v>39</v>
      </c>
      <c r="W120" s="31">
        <v>141.98699999999999</v>
      </c>
      <c r="X120" s="31" t="s">
        <v>39</v>
      </c>
      <c r="Y120" s="31">
        <v>141.98699999999999</v>
      </c>
      <c r="Z120" s="32" t="s">
        <v>39</v>
      </c>
      <c r="AA120" s="32" t="s">
        <v>39</v>
      </c>
      <c r="AB120" s="32">
        <v>9229.9030000000002</v>
      </c>
      <c r="AC120" s="32" t="s">
        <v>39</v>
      </c>
      <c r="AD120" s="32">
        <v>9229.9030000000002</v>
      </c>
      <c r="AE120" s="33" t="s">
        <v>39</v>
      </c>
      <c r="AF120" s="33" t="s">
        <v>39</v>
      </c>
      <c r="AG120" s="33" t="s">
        <v>39</v>
      </c>
      <c r="AH120" s="33" t="s">
        <v>39</v>
      </c>
      <c r="AI120" s="33" t="s">
        <v>39</v>
      </c>
      <c r="AJ120" s="34" t="s">
        <v>39</v>
      </c>
    </row>
    <row r="121" spans="1:36" ht="38.450000000000003" customHeight="1" x14ac:dyDescent="0.25">
      <c r="A121" s="25">
        <v>2021</v>
      </c>
      <c r="B121" s="26">
        <v>9750</v>
      </c>
      <c r="C121" s="27" t="s">
        <v>204</v>
      </c>
      <c r="D121" s="27" t="s">
        <v>105</v>
      </c>
      <c r="E121" s="27" t="s">
        <v>49</v>
      </c>
      <c r="F121" s="28">
        <v>1704</v>
      </c>
      <c r="G121" s="28">
        <v>0</v>
      </c>
      <c r="H121" s="28">
        <v>7</v>
      </c>
      <c r="I121" s="28">
        <v>0</v>
      </c>
      <c r="J121" s="28">
        <v>1711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  <c r="P121" s="30">
        <v>1.546</v>
      </c>
      <c r="Q121" s="30">
        <v>0</v>
      </c>
      <c r="R121" s="30">
        <v>2.0499999999999998</v>
      </c>
      <c r="S121" s="30">
        <v>0</v>
      </c>
      <c r="T121" s="30">
        <v>3.5960000000000001</v>
      </c>
      <c r="U121" s="31">
        <v>1.5209999999999999</v>
      </c>
      <c r="V121" s="31">
        <v>0</v>
      </c>
      <c r="W121" s="31">
        <v>2.0169999999999999</v>
      </c>
      <c r="X121" s="31">
        <v>0</v>
      </c>
      <c r="Y121" s="31">
        <v>3.5379999999999998</v>
      </c>
      <c r="Z121" s="32">
        <v>105</v>
      </c>
      <c r="AA121" s="32">
        <v>0</v>
      </c>
      <c r="AB121" s="32">
        <v>38</v>
      </c>
      <c r="AC121" s="32">
        <v>0</v>
      </c>
      <c r="AD121" s="32">
        <v>143</v>
      </c>
      <c r="AE121" s="33">
        <v>31</v>
      </c>
      <c r="AF121" s="33">
        <v>0</v>
      </c>
      <c r="AG121" s="33">
        <v>11</v>
      </c>
      <c r="AH121" s="33">
        <v>0</v>
      </c>
      <c r="AI121" s="33">
        <v>42</v>
      </c>
      <c r="AJ121" s="34">
        <v>0</v>
      </c>
    </row>
    <row r="122" spans="1:36" ht="51" customHeight="1" x14ac:dyDescent="0.25">
      <c r="A122" s="25">
        <v>2021</v>
      </c>
      <c r="B122" s="26">
        <v>9778</v>
      </c>
      <c r="C122" s="27" t="s">
        <v>205</v>
      </c>
      <c r="D122" s="27" t="s">
        <v>179</v>
      </c>
      <c r="E122" s="27" t="s">
        <v>49</v>
      </c>
      <c r="F122" s="28" t="s">
        <v>39</v>
      </c>
      <c r="G122" s="28" t="s">
        <v>39</v>
      </c>
      <c r="H122" s="28">
        <v>2</v>
      </c>
      <c r="I122" s="28" t="s">
        <v>39</v>
      </c>
      <c r="J122" s="28">
        <v>2</v>
      </c>
      <c r="K122" s="29" t="s">
        <v>39</v>
      </c>
      <c r="L122" s="29" t="s">
        <v>39</v>
      </c>
      <c r="M122" s="29">
        <v>27.786000000000001</v>
      </c>
      <c r="N122" s="29" t="s">
        <v>39</v>
      </c>
      <c r="O122" s="29">
        <v>27.786000000000001</v>
      </c>
      <c r="P122" s="30" t="s">
        <v>39</v>
      </c>
      <c r="Q122" s="30" t="s">
        <v>39</v>
      </c>
      <c r="R122" s="30">
        <v>4.6310000000000002</v>
      </c>
      <c r="S122" s="30" t="s">
        <v>39</v>
      </c>
      <c r="T122" s="30">
        <v>4.6310000000000002</v>
      </c>
      <c r="U122" s="31" t="s">
        <v>39</v>
      </c>
      <c r="V122" s="31" t="s">
        <v>39</v>
      </c>
      <c r="W122" s="31">
        <v>4.6310000000000002</v>
      </c>
      <c r="X122" s="31" t="s">
        <v>39</v>
      </c>
      <c r="Y122" s="31">
        <v>4.6310000000000002</v>
      </c>
      <c r="Z122" s="32" t="s">
        <v>39</v>
      </c>
      <c r="AA122" s="32" t="s">
        <v>39</v>
      </c>
      <c r="AB122" s="32">
        <v>52.29</v>
      </c>
      <c r="AC122" s="32" t="s">
        <v>39</v>
      </c>
      <c r="AD122" s="32">
        <v>52.29</v>
      </c>
      <c r="AE122" s="33" t="s">
        <v>39</v>
      </c>
      <c r="AF122" s="33" t="s">
        <v>39</v>
      </c>
      <c r="AG122" s="33">
        <v>2</v>
      </c>
      <c r="AH122" s="33" t="s">
        <v>39</v>
      </c>
      <c r="AI122" s="33">
        <v>2</v>
      </c>
      <c r="AJ122" s="34" t="s">
        <v>39</v>
      </c>
    </row>
    <row r="123" spans="1:36" ht="26.1" customHeight="1" x14ac:dyDescent="0.25">
      <c r="A123" s="25">
        <v>2021</v>
      </c>
      <c r="B123" s="26">
        <v>10000</v>
      </c>
      <c r="C123" s="27" t="s">
        <v>206</v>
      </c>
      <c r="D123" s="27" t="s">
        <v>207</v>
      </c>
      <c r="E123" s="27" t="s">
        <v>77</v>
      </c>
      <c r="F123" s="28">
        <v>13755</v>
      </c>
      <c r="G123" s="28">
        <v>281</v>
      </c>
      <c r="H123" s="28" t="s">
        <v>39</v>
      </c>
      <c r="I123" s="28" t="s">
        <v>39</v>
      </c>
      <c r="J123" s="28">
        <v>14036</v>
      </c>
      <c r="K123" s="29" t="s">
        <v>39</v>
      </c>
      <c r="L123" s="29" t="s">
        <v>39</v>
      </c>
      <c r="M123" s="29" t="s">
        <v>39</v>
      </c>
      <c r="N123" s="29" t="s">
        <v>39</v>
      </c>
      <c r="O123" s="29" t="s">
        <v>39</v>
      </c>
      <c r="P123" s="30">
        <v>11.692</v>
      </c>
      <c r="Q123" s="30">
        <v>0.23899999999999999</v>
      </c>
      <c r="R123" s="30" t="s">
        <v>39</v>
      </c>
      <c r="S123" s="30" t="s">
        <v>39</v>
      </c>
      <c r="T123" s="30">
        <v>11.930999999999999</v>
      </c>
      <c r="U123" s="31">
        <v>11.692</v>
      </c>
      <c r="V123" s="31">
        <v>0.23899999999999999</v>
      </c>
      <c r="W123" s="31" t="s">
        <v>39</v>
      </c>
      <c r="X123" s="31" t="s">
        <v>39</v>
      </c>
      <c r="Y123" s="31">
        <v>11.930999999999999</v>
      </c>
      <c r="Z123" s="32" t="s">
        <v>39</v>
      </c>
      <c r="AA123" s="32" t="s">
        <v>39</v>
      </c>
      <c r="AB123" s="32" t="s">
        <v>39</v>
      </c>
      <c r="AC123" s="32" t="s">
        <v>39</v>
      </c>
      <c r="AD123" s="32" t="s">
        <v>39</v>
      </c>
      <c r="AE123" s="33">
        <v>119.81</v>
      </c>
      <c r="AF123" s="33">
        <v>2.4500000000000002</v>
      </c>
      <c r="AG123" s="33" t="s">
        <v>39</v>
      </c>
      <c r="AH123" s="33" t="s">
        <v>39</v>
      </c>
      <c r="AI123" s="33">
        <v>122.26</v>
      </c>
      <c r="AJ123" s="34">
        <v>0</v>
      </c>
    </row>
    <row r="124" spans="1:36" ht="26.1" customHeight="1" x14ac:dyDescent="0.25">
      <c r="A124" s="25">
        <v>2021</v>
      </c>
      <c r="B124" s="26">
        <v>10000</v>
      </c>
      <c r="C124" s="27" t="s">
        <v>206</v>
      </c>
      <c r="D124" s="27" t="s">
        <v>124</v>
      </c>
      <c r="E124" s="27" t="s">
        <v>77</v>
      </c>
      <c r="F124" s="28">
        <v>24284</v>
      </c>
      <c r="G124" s="28">
        <v>513</v>
      </c>
      <c r="H124" s="28" t="s">
        <v>39</v>
      </c>
      <c r="I124" s="28" t="s">
        <v>39</v>
      </c>
      <c r="J124" s="28">
        <v>24797</v>
      </c>
      <c r="K124" s="29">
        <v>931.02200000000005</v>
      </c>
      <c r="L124" s="29">
        <v>19.306000000000001</v>
      </c>
      <c r="M124" s="29" t="s">
        <v>39</v>
      </c>
      <c r="N124" s="29" t="s">
        <v>39</v>
      </c>
      <c r="O124" s="29">
        <v>950.32799999999997</v>
      </c>
      <c r="P124" s="30">
        <v>20.640999999999998</v>
      </c>
      <c r="Q124" s="30">
        <v>23.082000000000001</v>
      </c>
      <c r="R124" s="30" t="s">
        <v>39</v>
      </c>
      <c r="S124" s="30" t="s">
        <v>39</v>
      </c>
      <c r="T124" s="30">
        <v>43.722999999999999</v>
      </c>
      <c r="U124" s="31">
        <v>20.640999999999998</v>
      </c>
      <c r="V124" s="31">
        <v>23.082000000000001</v>
      </c>
      <c r="W124" s="31" t="s">
        <v>39</v>
      </c>
      <c r="X124" s="31" t="s">
        <v>39</v>
      </c>
      <c r="Y124" s="31">
        <v>43.722999999999999</v>
      </c>
      <c r="Z124" s="32">
        <v>245.06</v>
      </c>
      <c r="AA124" s="32">
        <v>663.49</v>
      </c>
      <c r="AB124" s="32" t="s">
        <v>39</v>
      </c>
      <c r="AC124" s="32" t="s">
        <v>39</v>
      </c>
      <c r="AD124" s="32">
        <v>908.55</v>
      </c>
      <c r="AE124" s="33">
        <v>2038.89</v>
      </c>
      <c r="AF124" s="33">
        <v>848.22</v>
      </c>
      <c r="AG124" s="33" t="s">
        <v>39</v>
      </c>
      <c r="AH124" s="33" t="s">
        <v>39</v>
      </c>
      <c r="AI124" s="33">
        <v>2887.11</v>
      </c>
      <c r="AJ124" s="34">
        <v>0</v>
      </c>
    </row>
    <row r="125" spans="1:36" ht="51" customHeight="1" x14ac:dyDescent="0.25">
      <c r="A125" s="25">
        <v>2021</v>
      </c>
      <c r="B125" s="26">
        <v>10005</v>
      </c>
      <c r="C125" s="27" t="s">
        <v>208</v>
      </c>
      <c r="D125" s="27" t="s">
        <v>207</v>
      </c>
      <c r="E125" s="27" t="s">
        <v>77</v>
      </c>
      <c r="F125" s="28">
        <v>22344</v>
      </c>
      <c r="G125" s="28">
        <v>708</v>
      </c>
      <c r="H125" s="28">
        <v>38</v>
      </c>
      <c r="I125" s="28" t="s">
        <v>39</v>
      </c>
      <c r="J125" s="28">
        <v>23090</v>
      </c>
      <c r="K125" s="29" t="s">
        <v>39</v>
      </c>
      <c r="L125" s="29" t="s">
        <v>39</v>
      </c>
      <c r="M125" s="29" t="s">
        <v>39</v>
      </c>
      <c r="N125" s="29" t="s">
        <v>39</v>
      </c>
      <c r="O125" s="29" t="s">
        <v>39</v>
      </c>
      <c r="P125" s="30">
        <v>9.4960000000000004</v>
      </c>
      <c r="Q125" s="30">
        <v>4.9409999999999998</v>
      </c>
      <c r="R125" s="30">
        <v>129.483</v>
      </c>
      <c r="S125" s="30" t="s">
        <v>39</v>
      </c>
      <c r="T125" s="30">
        <v>143.91999999999999</v>
      </c>
      <c r="U125" s="31">
        <v>9.4960000000000004</v>
      </c>
      <c r="V125" s="31">
        <v>0.29399999999999998</v>
      </c>
      <c r="W125" s="31" t="s">
        <v>39</v>
      </c>
      <c r="X125" s="31" t="s">
        <v>39</v>
      </c>
      <c r="Y125" s="31">
        <v>9.7899999999999991</v>
      </c>
      <c r="Z125" s="32" t="s">
        <v>39</v>
      </c>
      <c r="AA125" s="32" t="s">
        <v>39</v>
      </c>
      <c r="AB125" s="32">
        <v>3797.15</v>
      </c>
      <c r="AC125" s="32" t="s">
        <v>39</v>
      </c>
      <c r="AD125" s="32">
        <v>3797.15</v>
      </c>
      <c r="AE125" s="33">
        <v>193.79</v>
      </c>
      <c r="AF125" s="33">
        <v>5.99</v>
      </c>
      <c r="AG125" s="33" t="s">
        <v>39</v>
      </c>
      <c r="AH125" s="33" t="s">
        <v>39</v>
      </c>
      <c r="AI125" s="33">
        <v>199.78</v>
      </c>
      <c r="AJ125" s="34">
        <v>0</v>
      </c>
    </row>
    <row r="126" spans="1:36" ht="38.450000000000003" customHeight="1" x14ac:dyDescent="0.25">
      <c r="A126" s="25">
        <v>2021</v>
      </c>
      <c r="B126" s="26">
        <v>10171</v>
      </c>
      <c r="C126" s="27" t="s">
        <v>209</v>
      </c>
      <c r="D126" s="27" t="s">
        <v>142</v>
      </c>
      <c r="E126" s="27" t="s">
        <v>210</v>
      </c>
      <c r="F126" s="28">
        <v>67593</v>
      </c>
      <c r="G126" s="28">
        <v>781</v>
      </c>
      <c r="H126" s="28" t="s">
        <v>39</v>
      </c>
      <c r="I126" s="28" t="s">
        <v>39</v>
      </c>
      <c r="J126" s="28">
        <v>68374</v>
      </c>
      <c r="K126" s="29" t="s">
        <v>39</v>
      </c>
      <c r="L126" s="29" t="s">
        <v>39</v>
      </c>
      <c r="M126" s="29" t="s">
        <v>39</v>
      </c>
      <c r="N126" s="29" t="s">
        <v>39</v>
      </c>
      <c r="O126" s="29" t="s">
        <v>39</v>
      </c>
      <c r="P126" s="30">
        <v>72.331999999999994</v>
      </c>
      <c r="Q126" s="30">
        <v>11.246</v>
      </c>
      <c r="R126" s="30" t="s">
        <v>39</v>
      </c>
      <c r="S126" s="30" t="s">
        <v>39</v>
      </c>
      <c r="T126" s="30">
        <v>83.578000000000003</v>
      </c>
      <c r="U126" s="31" t="s">
        <v>39</v>
      </c>
      <c r="V126" s="31" t="s">
        <v>39</v>
      </c>
      <c r="W126" s="31" t="s">
        <v>39</v>
      </c>
      <c r="X126" s="31" t="s">
        <v>39</v>
      </c>
      <c r="Y126" s="31" t="s">
        <v>39</v>
      </c>
      <c r="Z126" s="32" t="s">
        <v>39</v>
      </c>
      <c r="AA126" s="32" t="s">
        <v>39</v>
      </c>
      <c r="AB126" s="32" t="s">
        <v>39</v>
      </c>
      <c r="AC126" s="32" t="s">
        <v>39</v>
      </c>
      <c r="AD126" s="32" t="s">
        <v>39</v>
      </c>
      <c r="AE126" s="33">
        <v>1.131</v>
      </c>
      <c r="AF126" s="33">
        <v>0.26800000000000002</v>
      </c>
      <c r="AG126" s="33" t="s">
        <v>39</v>
      </c>
      <c r="AH126" s="33" t="s">
        <v>39</v>
      </c>
      <c r="AI126" s="33">
        <v>1.399</v>
      </c>
      <c r="AJ126" s="34" t="s">
        <v>39</v>
      </c>
    </row>
    <row r="127" spans="1:36" ht="38.450000000000003" customHeight="1" x14ac:dyDescent="0.25">
      <c r="A127" s="25">
        <v>2021</v>
      </c>
      <c r="B127" s="26">
        <v>10539</v>
      </c>
      <c r="C127" s="27" t="s">
        <v>211</v>
      </c>
      <c r="D127" s="27" t="s">
        <v>107</v>
      </c>
      <c r="E127" s="27" t="s">
        <v>186</v>
      </c>
      <c r="F127" s="28">
        <v>102</v>
      </c>
      <c r="G127" s="28" t="s">
        <v>39</v>
      </c>
      <c r="H127" s="28" t="s">
        <v>39</v>
      </c>
      <c r="I127" s="28" t="s">
        <v>39</v>
      </c>
      <c r="J127" s="28">
        <v>102</v>
      </c>
      <c r="K127" s="29">
        <v>0</v>
      </c>
      <c r="L127" s="29" t="s">
        <v>39</v>
      </c>
      <c r="M127" s="29" t="s">
        <v>39</v>
      </c>
      <c r="N127" s="29" t="s">
        <v>39</v>
      </c>
      <c r="O127" s="29">
        <v>0</v>
      </c>
      <c r="P127" s="30">
        <v>1.2</v>
      </c>
      <c r="Q127" s="30" t="s">
        <v>39</v>
      </c>
      <c r="R127" s="30" t="s">
        <v>39</v>
      </c>
      <c r="S127" s="30" t="s">
        <v>39</v>
      </c>
      <c r="T127" s="30">
        <v>1.2</v>
      </c>
      <c r="U127" s="31">
        <v>0.73</v>
      </c>
      <c r="V127" s="31" t="s">
        <v>39</v>
      </c>
      <c r="W127" s="31" t="s">
        <v>39</v>
      </c>
      <c r="X127" s="31" t="s">
        <v>39</v>
      </c>
      <c r="Y127" s="31">
        <v>0.73</v>
      </c>
      <c r="Z127" s="32">
        <v>177.45</v>
      </c>
      <c r="AA127" s="32" t="s">
        <v>39</v>
      </c>
      <c r="AB127" s="32" t="s">
        <v>39</v>
      </c>
      <c r="AC127" s="32" t="s">
        <v>39</v>
      </c>
      <c r="AD127" s="32">
        <v>177.45</v>
      </c>
      <c r="AE127" s="33">
        <v>152.56800000000001</v>
      </c>
      <c r="AF127" s="33" t="s">
        <v>39</v>
      </c>
      <c r="AG127" s="33" t="s">
        <v>39</v>
      </c>
      <c r="AH127" s="33" t="s">
        <v>39</v>
      </c>
      <c r="AI127" s="33">
        <v>152.56800000000001</v>
      </c>
      <c r="AJ127" s="34">
        <v>0</v>
      </c>
    </row>
    <row r="128" spans="1:36" ht="51" customHeight="1" x14ac:dyDescent="0.25">
      <c r="A128" s="25">
        <v>2021</v>
      </c>
      <c r="B128" s="26">
        <v>10596</v>
      </c>
      <c r="C128" s="27" t="s">
        <v>212</v>
      </c>
      <c r="D128" s="27" t="s">
        <v>48</v>
      </c>
      <c r="E128" s="27" t="s">
        <v>49</v>
      </c>
      <c r="F128" s="28">
        <v>270</v>
      </c>
      <c r="G128" s="28" t="s">
        <v>39</v>
      </c>
      <c r="H128" s="28" t="s">
        <v>39</v>
      </c>
      <c r="I128" s="28" t="s">
        <v>39</v>
      </c>
      <c r="J128" s="28">
        <v>270</v>
      </c>
      <c r="K128" s="29">
        <v>2.7</v>
      </c>
      <c r="L128" s="29" t="s">
        <v>39</v>
      </c>
      <c r="M128" s="29" t="s">
        <v>39</v>
      </c>
      <c r="N128" s="29" t="s">
        <v>39</v>
      </c>
      <c r="O128" s="29">
        <v>2.7</v>
      </c>
      <c r="P128" s="30" t="s">
        <v>39</v>
      </c>
      <c r="Q128" s="30" t="s">
        <v>39</v>
      </c>
      <c r="R128" s="30" t="s">
        <v>39</v>
      </c>
      <c r="S128" s="30" t="s">
        <v>39</v>
      </c>
      <c r="T128" s="30" t="s">
        <v>39</v>
      </c>
      <c r="U128" s="31" t="s">
        <v>39</v>
      </c>
      <c r="V128" s="31" t="s">
        <v>39</v>
      </c>
      <c r="W128" s="31" t="s">
        <v>39</v>
      </c>
      <c r="X128" s="31" t="s">
        <v>39</v>
      </c>
      <c r="Y128" s="31" t="s">
        <v>39</v>
      </c>
      <c r="Z128" s="32">
        <v>5</v>
      </c>
      <c r="AA128" s="32" t="s">
        <v>39</v>
      </c>
      <c r="AB128" s="32" t="s">
        <v>39</v>
      </c>
      <c r="AC128" s="32" t="s">
        <v>39</v>
      </c>
      <c r="AD128" s="32">
        <v>5</v>
      </c>
      <c r="AE128" s="33" t="s">
        <v>39</v>
      </c>
      <c r="AF128" s="33" t="s">
        <v>39</v>
      </c>
      <c r="AG128" s="33" t="s">
        <v>39</v>
      </c>
      <c r="AH128" s="33" t="s">
        <v>39</v>
      </c>
      <c r="AI128" s="33" t="s">
        <v>39</v>
      </c>
      <c r="AJ128" s="34" t="s">
        <v>39</v>
      </c>
    </row>
    <row r="129" spans="1:36" ht="38.450000000000003" customHeight="1" x14ac:dyDescent="0.25">
      <c r="A129" s="25">
        <v>2021</v>
      </c>
      <c r="B129" s="26">
        <v>10768</v>
      </c>
      <c r="C129" s="27" t="s">
        <v>213</v>
      </c>
      <c r="D129" s="27" t="s">
        <v>35</v>
      </c>
      <c r="E129" s="27" t="s">
        <v>80</v>
      </c>
      <c r="F129" s="28">
        <v>5582</v>
      </c>
      <c r="G129" s="28" t="s">
        <v>39</v>
      </c>
      <c r="H129" s="28">
        <v>2</v>
      </c>
      <c r="I129" s="28" t="s">
        <v>39</v>
      </c>
      <c r="J129" s="28">
        <v>5584</v>
      </c>
      <c r="K129" s="29">
        <v>12.2</v>
      </c>
      <c r="L129" s="29" t="s">
        <v>39</v>
      </c>
      <c r="M129" s="29">
        <v>4</v>
      </c>
      <c r="N129" s="29" t="s">
        <v>39</v>
      </c>
      <c r="O129" s="29">
        <v>16.2</v>
      </c>
      <c r="P129" s="30">
        <v>7</v>
      </c>
      <c r="Q129" s="30" t="s">
        <v>39</v>
      </c>
      <c r="R129" s="30">
        <v>3</v>
      </c>
      <c r="S129" s="30" t="s">
        <v>39</v>
      </c>
      <c r="T129" s="30">
        <v>10</v>
      </c>
      <c r="U129" s="31">
        <v>7</v>
      </c>
      <c r="V129" s="31" t="s">
        <v>39</v>
      </c>
      <c r="W129" s="31">
        <v>1.8</v>
      </c>
      <c r="X129" s="31" t="s">
        <v>39</v>
      </c>
      <c r="Y129" s="31">
        <v>8.8000000000000007</v>
      </c>
      <c r="Z129" s="32" t="s">
        <v>39</v>
      </c>
      <c r="AA129" s="32" t="s">
        <v>39</v>
      </c>
      <c r="AB129" s="32" t="s">
        <v>39</v>
      </c>
      <c r="AC129" s="32" t="s">
        <v>39</v>
      </c>
      <c r="AD129" s="32" t="s">
        <v>39</v>
      </c>
      <c r="AE129" s="33" t="s">
        <v>39</v>
      </c>
      <c r="AF129" s="33" t="s">
        <v>39</v>
      </c>
      <c r="AG129" s="33" t="s">
        <v>39</v>
      </c>
      <c r="AH129" s="33" t="s">
        <v>39</v>
      </c>
      <c r="AI129" s="33" t="s">
        <v>39</v>
      </c>
      <c r="AJ129" s="34" t="s">
        <v>39</v>
      </c>
    </row>
    <row r="130" spans="1:36" ht="51" customHeight="1" x14ac:dyDescent="0.25">
      <c r="A130" s="25">
        <v>2021</v>
      </c>
      <c r="B130" s="26">
        <v>10857</v>
      </c>
      <c r="C130" s="27" t="s">
        <v>214</v>
      </c>
      <c r="D130" s="27" t="s">
        <v>98</v>
      </c>
      <c r="E130" s="27" t="s">
        <v>159</v>
      </c>
      <c r="F130" s="28">
        <v>15124</v>
      </c>
      <c r="G130" s="28">
        <v>44</v>
      </c>
      <c r="H130" s="28" t="s">
        <v>39</v>
      </c>
      <c r="I130" s="28" t="s">
        <v>39</v>
      </c>
      <c r="J130" s="28">
        <v>15168</v>
      </c>
      <c r="K130" s="29">
        <v>131.44</v>
      </c>
      <c r="L130" s="29">
        <v>672.34</v>
      </c>
      <c r="M130" s="29" t="s">
        <v>39</v>
      </c>
      <c r="N130" s="29" t="s">
        <v>39</v>
      </c>
      <c r="O130" s="29">
        <v>803.78</v>
      </c>
      <c r="P130" s="30">
        <v>3.07</v>
      </c>
      <c r="Q130" s="30">
        <v>26.18</v>
      </c>
      <c r="R130" s="30" t="s">
        <v>39</v>
      </c>
      <c r="S130" s="30" t="s">
        <v>39</v>
      </c>
      <c r="T130" s="30">
        <v>29.25</v>
      </c>
      <c r="U130" s="31">
        <v>3.07</v>
      </c>
      <c r="V130" s="31">
        <v>15.93</v>
      </c>
      <c r="W130" s="31" t="s">
        <v>39</v>
      </c>
      <c r="X130" s="31" t="s">
        <v>39</v>
      </c>
      <c r="Y130" s="31">
        <v>19</v>
      </c>
      <c r="Z130" s="32">
        <v>684.63</v>
      </c>
      <c r="AA130" s="32">
        <v>1026.8</v>
      </c>
      <c r="AB130" s="32" t="s">
        <v>39</v>
      </c>
      <c r="AC130" s="32" t="s">
        <v>39</v>
      </c>
      <c r="AD130" s="32">
        <v>1711.43</v>
      </c>
      <c r="AE130" s="33">
        <v>89.06</v>
      </c>
      <c r="AF130" s="33">
        <v>164.08</v>
      </c>
      <c r="AG130" s="33" t="s">
        <v>39</v>
      </c>
      <c r="AH130" s="33" t="s">
        <v>39</v>
      </c>
      <c r="AI130" s="33">
        <v>253.14</v>
      </c>
      <c r="AJ130" s="34" t="s">
        <v>39</v>
      </c>
    </row>
    <row r="131" spans="1:36" ht="38.450000000000003" customHeight="1" x14ac:dyDescent="0.25">
      <c r="A131" s="25">
        <v>2021</v>
      </c>
      <c r="B131" s="26">
        <v>11018</v>
      </c>
      <c r="C131" s="27" t="s">
        <v>215</v>
      </c>
      <c r="D131" s="27" t="s">
        <v>89</v>
      </c>
      <c r="E131" s="27" t="s">
        <v>77</v>
      </c>
      <c r="F131" s="28">
        <v>2263</v>
      </c>
      <c r="G131" s="28" t="s">
        <v>39</v>
      </c>
      <c r="H131" s="28" t="s">
        <v>39</v>
      </c>
      <c r="I131" s="28" t="s">
        <v>39</v>
      </c>
      <c r="J131" s="28">
        <v>2263</v>
      </c>
      <c r="K131" s="29" t="s">
        <v>39</v>
      </c>
      <c r="L131" s="29" t="s">
        <v>39</v>
      </c>
      <c r="M131" s="29" t="s">
        <v>39</v>
      </c>
      <c r="N131" s="29" t="s">
        <v>39</v>
      </c>
      <c r="O131" s="29" t="s">
        <v>39</v>
      </c>
      <c r="P131" s="30">
        <v>3</v>
      </c>
      <c r="Q131" s="30" t="s">
        <v>39</v>
      </c>
      <c r="R131" s="30" t="s">
        <v>39</v>
      </c>
      <c r="S131" s="30" t="s">
        <v>39</v>
      </c>
      <c r="T131" s="30">
        <v>3</v>
      </c>
      <c r="U131" s="31">
        <v>3</v>
      </c>
      <c r="V131" s="31" t="s">
        <v>39</v>
      </c>
      <c r="W131" s="31" t="s">
        <v>39</v>
      </c>
      <c r="X131" s="31" t="s">
        <v>39</v>
      </c>
      <c r="Y131" s="31">
        <v>3</v>
      </c>
      <c r="Z131" s="32">
        <v>72</v>
      </c>
      <c r="AA131" s="32" t="s">
        <v>39</v>
      </c>
      <c r="AB131" s="32" t="s">
        <v>39</v>
      </c>
      <c r="AC131" s="32" t="s">
        <v>39</v>
      </c>
      <c r="AD131" s="32">
        <v>72</v>
      </c>
      <c r="AE131" s="33">
        <v>140</v>
      </c>
      <c r="AF131" s="33" t="s">
        <v>39</v>
      </c>
      <c r="AG131" s="33" t="s">
        <v>39</v>
      </c>
      <c r="AH131" s="33" t="s">
        <v>39</v>
      </c>
      <c r="AI131" s="33">
        <v>140</v>
      </c>
      <c r="AJ131" s="34" t="s">
        <v>39</v>
      </c>
    </row>
    <row r="132" spans="1:36" ht="51" customHeight="1" x14ac:dyDescent="0.25">
      <c r="A132" s="25">
        <v>2021</v>
      </c>
      <c r="B132" s="26">
        <v>11171</v>
      </c>
      <c r="C132" s="27" t="s">
        <v>216</v>
      </c>
      <c r="D132" s="27" t="s">
        <v>93</v>
      </c>
      <c r="E132" s="27" t="s">
        <v>94</v>
      </c>
      <c r="F132" s="28">
        <v>25229</v>
      </c>
      <c r="G132" s="28">
        <v>291</v>
      </c>
      <c r="H132" s="28" t="s">
        <v>39</v>
      </c>
      <c r="I132" s="28" t="s">
        <v>39</v>
      </c>
      <c r="J132" s="28">
        <v>25520</v>
      </c>
      <c r="K132" s="29" t="s">
        <v>39</v>
      </c>
      <c r="L132" s="29" t="s">
        <v>39</v>
      </c>
      <c r="M132" s="29" t="s">
        <v>39</v>
      </c>
      <c r="N132" s="29" t="s">
        <v>39</v>
      </c>
      <c r="O132" s="29" t="s">
        <v>39</v>
      </c>
      <c r="P132" s="30">
        <v>34.244999999999997</v>
      </c>
      <c r="Q132" s="30">
        <v>29.37</v>
      </c>
      <c r="R132" s="30" t="s">
        <v>39</v>
      </c>
      <c r="S132" s="30" t="s">
        <v>39</v>
      </c>
      <c r="T132" s="30">
        <v>63.615000000000002</v>
      </c>
      <c r="U132" s="31">
        <v>16.48</v>
      </c>
      <c r="V132" s="31">
        <v>11.38</v>
      </c>
      <c r="W132" s="31" t="s">
        <v>39</v>
      </c>
      <c r="X132" s="31" t="s">
        <v>39</v>
      </c>
      <c r="Y132" s="31">
        <v>27.86</v>
      </c>
      <c r="Z132" s="32">
        <v>1186.9100000000001</v>
      </c>
      <c r="AA132" s="32">
        <v>506.71800000000002</v>
      </c>
      <c r="AB132" s="32" t="s">
        <v>39</v>
      </c>
      <c r="AC132" s="32" t="s">
        <v>39</v>
      </c>
      <c r="AD132" s="32">
        <v>1693.6279999999999</v>
      </c>
      <c r="AE132" s="33">
        <v>1238.7380000000001</v>
      </c>
      <c r="AF132" s="33">
        <v>352.8</v>
      </c>
      <c r="AG132" s="33" t="s">
        <v>39</v>
      </c>
      <c r="AH132" s="33" t="s">
        <v>39</v>
      </c>
      <c r="AI132" s="33">
        <v>1591.538</v>
      </c>
      <c r="AJ132" s="34" t="s">
        <v>39</v>
      </c>
    </row>
    <row r="133" spans="1:36" ht="75.95" customHeight="1" x14ac:dyDescent="0.25">
      <c r="A133" s="25">
        <v>2021</v>
      </c>
      <c r="B133" s="26">
        <v>11208</v>
      </c>
      <c r="C133" s="27" t="s">
        <v>217</v>
      </c>
      <c r="D133" s="27" t="s">
        <v>42</v>
      </c>
      <c r="E133" s="27" t="s">
        <v>218</v>
      </c>
      <c r="F133" s="28" t="s">
        <v>39</v>
      </c>
      <c r="G133" s="28">
        <v>6</v>
      </c>
      <c r="H133" s="28">
        <v>3</v>
      </c>
      <c r="I133" s="28" t="s">
        <v>39</v>
      </c>
      <c r="J133" s="28">
        <v>9</v>
      </c>
      <c r="K133" s="29" t="s">
        <v>39</v>
      </c>
      <c r="L133" s="29">
        <v>90.22</v>
      </c>
      <c r="M133" s="29">
        <v>146.64500000000001</v>
      </c>
      <c r="N133" s="29" t="s">
        <v>39</v>
      </c>
      <c r="O133" s="29">
        <v>236.86500000000001</v>
      </c>
      <c r="P133" s="30" t="s">
        <v>39</v>
      </c>
      <c r="Q133" s="30">
        <v>18.044</v>
      </c>
      <c r="R133" s="30">
        <v>29.329000000000001</v>
      </c>
      <c r="S133" s="30" t="s">
        <v>39</v>
      </c>
      <c r="T133" s="30">
        <v>47.372999999999998</v>
      </c>
      <c r="U133" s="31" t="s">
        <v>39</v>
      </c>
      <c r="V133" s="31">
        <v>9.0220000000000002</v>
      </c>
      <c r="W133" s="31">
        <v>14.664999999999999</v>
      </c>
      <c r="X133" s="31" t="s">
        <v>39</v>
      </c>
      <c r="Y133" s="31">
        <v>23.687000000000001</v>
      </c>
      <c r="Z133" s="32" t="s">
        <v>39</v>
      </c>
      <c r="AA133" s="32">
        <v>157.34399999999999</v>
      </c>
      <c r="AB133" s="32">
        <v>255.749</v>
      </c>
      <c r="AC133" s="32" t="s">
        <v>39</v>
      </c>
      <c r="AD133" s="32">
        <v>413.09300000000002</v>
      </c>
      <c r="AE133" s="33" t="s">
        <v>39</v>
      </c>
      <c r="AF133" s="33" t="s">
        <v>39</v>
      </c>
      <c r="AG133" s="33" t="s">
        <v>39</v>
      </c>
      <c r="AH133" s="33" t="s">
        <v>39</v>
      </c>
      <c r="AI133" s="33" t="s">
        <v>39</v>
      </c>
      <c r="AJ133" s="34" t="s">
        <v>39</v>
      </c>
    </row>
    <row r="134" spans="1:36" ht="38.450000000000003" customHeight="1" x14ac:dyDescent="0.25">
      <c r="A134" s="25">
        <v>2021</v>
      </c>
      <c r="B134" s="26">
        <v>11241</v>
      </c>
      <c r="C134" s="27" t="s">
        <v>219</v>
      </c>
      <c r="D134" s="27" t="s">
        <v>133</v>
      </c>
      <c r="E134" s="27" t="s">
        <v>49</v>
      </c>
      <c r="F134" s="28" t="s">
        <v>39</v>
      </c>
      <c r="G134" s="28" t="s">
        <v>39</v>
      </c>
      <c r="H134" s="28">
        <v>10</v>
      </c>
      <c r="I134" s="28" t="s">
        <v>39</v>
      </c>
      <c r="J134" s="28">
        <v>10</v>
      </c>
      <c r="K134" s="29" t="s">
        <v>39</v>
      </c>
      <c r="L134" s="29" t="s">
        <v>39</v>
      </c>
      <c r="M134" s="29">
        <v>347</v>
      </c>
      <c r="N134" s="29" t="s">
        <v>39</v>
      </c>
      <c r="O134" s="29">
        <v>347</v>
      </c>
      <c r="P134" s="30" t="s">
        <v>39</v>
      </c>
      <c r="Q134" s="30" t="s">
        <v>39</v>
      </c>
      <c r="R134" s="30">
        <v>244.6</v>
      </c>
      <c r="S134" s="30" t="s">
        <v>39</v>
      </c>
      <c r="T134" s="30">
        <v>244.6</v>
      </c>
      <c r="U134" s="31" t="s">
        <v>39</v>
      </c>
      <c r="V134" s="31" t="s">
        <v>39</v>
      </c>
      <c r="W134" s="31" t="s">
        <v>39</v>
      </c>
      <c r="X134" s="31" t="s">
        <v>39</v>
      </c>
      <c r="Y134" s="31" t="s">
        <v>39</v>
      </c>
      <c r="Z134" s="32" t="s">
        <v>39</v>
      </c>
      <c r="AA134" s="32" t="s">
        <v>39</v>
      </c>
      <c r="AB134" s="32">
        <v>26728.917000000001</v>
      </c>
      <c r="AC134" s="32" t="s">
        <v>39</v>
      </c>
      <c r="AD134" s="32">
        <v>26728.917000000001</v>
      </c>
      <c r="AE134" s="33" t="s">
        <v>39</v>
      </c>
      <c r="AF134" s="33" t="s">
        <v>39</v>
      </c>
      <c r="AG134" s="33" t="s">
        <v>39</v>
      </c>
      <c r="AH134" s="33" t="s">
        <v>39</v>
      </c>
      <c r="AI134" s="33" t="s">
        <v>39</v>
      </c>
      <c r="AJ134" s="34" t="s">
        <v>39</v>
      </c>
    </row>
    <row r="135" spans="1:36" ht="51" customHeight="1" x14ac:dyDescent="0.25">
      <c r="A135" s="25">
        <v>2021</v>
      </c>
      <c r="B135" s="26">
        <v>11249</v>
      </c>
      <c r="C135" s="27" t="s">
        <v>220</v>
      </c>
      <c r="D135" s="27" t="s">
        <v>142</v>
      </c>
      <c r="E135" s="27" t="s">
        <v>210</v>
      </c>
      <c r="F135" s="28">
        <v>80959</v>
      </c>
      <c r="G135" s="28">
        <v>785</v>
      </c>
      <c r="H135" s="28" t="s">
        <v>39</v>
      </c>
      <c r="I135" s="28" t="s">
        <v>39</v>
      </c>
      <c r="J135" s="28">
        <v>81744</v>
      </c>
      <c r="K135" s="29">
        <v>0</v>
      </c>
      <c r="L135" s="29">
        <v>0</v>
      </c>
      <c r="M135" s="29" t="s">
        <v>39</v>
      </c>
      <c r="N135" s="29" t="s">
        <v>39</v>
      </c>
      <c r="O135" s="29">
        <v>0</v>
      </c>
      <c r="P135" s="30">
        <v>86.635000000000005</v>
      </c>
      <c r="Q135" s="30">
        <v>13.832000000000001</v>
      </c>
      <c r="R135" s="30" t="s">
        <v>39</v>
      </c>
      <c r="S135" s="30" t="s">
        <v>39</v>
      </c>
      <c r="T135" s="30">
        <v>100.467</v>
      </c>
      <c r="U135" s="31">
        <v>0</v>
      </c>
      <c r="V135" s="31">
        <v>0</v>
      </c>
      <c r="W135" s="31" t="s">
        <v>39</v>
      </c>
      <c r="X135" s="31" t="s">
        <v>39</v>
      </c>
      <c r="Y135" s="31">
        <v>0</v>
      </c>
      <c r="Z135" s="32">
        <v>0</v>
      </c>
      <c r="AA135" s="32">
        <v>0</v>
      </c>
      <c r="AB135" s="32" t="s">
        <v>39</v>
      </c>
      <c r="AC135" s="32" t="s">
        <v>39</v>
      </c>
      <c r="AD135" s="32">
        <v>0</v>
      </c>
      <c r="AE135" s="33">
        <v>1062.7929999999999</v>
      </c>
      <c r="AF135" s="33">
        <v>268.01</v>
      </c>
      <c r="AG135" s="33" t="s">
        <v>39</v>
      </c>
      <c r="AH135" s="33" t="s">
        <v>39</v>
      </c>
      <c r="AI135" s="33">
        <v>1330.8030000000001</v>
      </c>
      <c r="AJ135" s="34">
        <v>0</v>
      </c>
    </row>
    <row r="136" spans="1:36" ht="63.6" customHeight="1" x14ac:dyDescent="0.25">
      <c r="A136" s="25">
        <v>2021</v>
      </c>
      <c r="B136" s="26">
        <v>11251</v>
      </c>
      <c r="C136" s="27" t="s">
        <v>221</v>
      </c>
      <c r="D136" s="27" t="s">
        <v>89</v>
      </c>
      <c r="E136" s="27" t="s">
        <v>77</v>
      </c>
      <c r="F136" s="28" t="s">
        <v>39</v>
      </c>
      <c r="G136" s="28" t="s">
        <v>39</v>
      </c>
      <c r="H136" s="28">
        <v>495</v>
      </c>
      <c r="I136" s="28" t="s">
        <v>39</v>
      </c>
      <c r="J136" s="28">
        <v>495</v>
      </c>
      <c r="K136" s="29" t="s">
        <v>39</v>
      </c>
      <c r="L136" s="29" t="s">
        <v>39</v>
      </c>
      <c r="M136" s="29" t="s">
        <v>39</v>
      </c>
      <c r="N136" s="29" t="s">
        <v>39</v>
      </c>
      <c r="O136" s="29" t="s">
        <v>39</v>
      </c>
      <c r="P136" s="30" t="s">
        <v>39</v>
      </c>
      <c r="Q136" s="30" t="s">
        <v>39</v>
      </c>
      <c r="R136" s="30">
        <v>22.93</v>
      </c>
      <c r="S136" s="30" t="s">
        <v>39</v>
      </c>
      <c r="T136" s="30">
        <v>22.93</v>
      </c>
      <c r="U136" s="31" t="s">
        <v>39</v>
      </c>
      <c r="V136" s="31" t="s">
        <v>39</v>
      </c>
      <c r="W136" s="31">
        <v>13.73</v>
      </c>
      <c r="X136" s="31" t="s">
        <v>39</v>
      </c>
      <c r="Y136" s="31">
        <v>13.73</v>
      </c>
      <c r="Z136" s="32" t="s">
        <v>39</v>
      </c>
      <c r="AA136" s="32" t="s">
        <v>39</v>
      </c>
      <c r="AB136" s="32" t="s">
        <v>39</v>
      </c>
      <c r="AC136" s="32" t="s">
        <v>39</v>
      </c>
      <c r="AD136" s="32" t="s">
        <v>39</v>
      </c>
      <c r="AE136" s="33" t="s">
        <v>39</v>
      </c>
      <c r="AF136" s="33" t="s">
        <v>39</v>
      </c>
      <c r="AG136" s="33">
        <v>79.873000000000005</v>
      </c>
      <c r="AH136" s="33" t="s">
        <v>39</v>
      </c>
      <c r="AI136" s="33">
        <v>79.873000000000005</v>
      </c>
      <c r="AJ136" s="34" t="s">
        <v>39</v>
      </c>
    </row>
    <row r="137" spans="1:36" ht="51" customHeight="1" x14ac:dyDescent="0.25">
      <c r="A137" s="25">
        <v>2021</v>
      </c>
      <c r="B137" s="26">
        <v>11273</v>
      </c>
      <c r="C137" s="27" t="s">
        <v>222</v>
      </c>
      <c r="D137" s="27" t="s">
        <v>191</v>
      </c>
      <c r="E137" s="27" t="s">
        <v>156</v>
      </c>
      <c r="F137" s="28">
        <v>9</v>
      </c>
      <c r="G137" s="28">
        <v>0</v>
      </c>
      <c r="H137" s="28">
        <v>0</v>
      </c>
      <c r="I137" s="28">
        <v>0</v>
      </c>
      <c r="J137" s="28">
        <v>9</v>
      </c>
      <c r="K137" s="29" t="s">
        <v>39</v>
      </c>
      <c r="L137" s="29" t="s">
        <v>39</v>
      </c>
      <c r="M137" s="29" t="s">
        <v>39</v>
      </c>
      <c r="N137" s="29" t="s">
        <v>39</v>
      </c>
      <c r="O137" s="29" t="s">
        <v>39</v>
      </c>
      <c r="P137" s="30">
        <v>0.04</v>
      </c>
      <c r="Q137" s="30" t="s">
        <v>39</v>
      </c>
      <c r="R137" s="30" t="s">
        <v>39</v>
      </c>
      <c r="S137" s="30" t="s">
        <v>39</v>
      </c>
      <c r="T137" s="30">
        <v>0.04</v>
      </c>
      <c r="U137" s="31">
        <v>0.02</v>
      </c>
      <c r="V137" s="31" t="s">
        <v>39</v>
      </c>
      <c r="W137" s="31" t="s">
        <v>39</v>
      </c>
      <c r="X137" s="31" t="s">
        <v>39</v>
      </c>
      <c r="Y137" s="31">
        <v>0.02</v>
      </c>
      <c r="Z137" s="32">
        <v>1.08</v>
      </c>
      <c r="AA137" s="32" t="s">
        <v>39</v>
      </c>
      <c r="AB137" s="32" t="s">
        <v>39</v>
      </c>
      <c r="AC137" s="32" t="s">
        <v>39</v>
      </c>
      <c r="AD137" s="32">
        <v>1.08</v>
      </c>
      <c r="AE137" s="33" t="s">
        <v>39</v>
      </c>
      <c r="AF137" s="33" t="s">
        <v>39</v>
      </c>
      <c r="AG137" s="33" t="s">
        <v>39</v>
      </c>
      <c r="AH137" s="33" t="s">
        <v>39</v>
      </c>
      <c r="AI137" s="33" t="s">
        <v>39</v>
      </c>
      <c r="AJ137" s="34" t="s">
        <v>39</v>
      </c>
    </row>
    <row r="138" spans="1:36" ht="51" customHeight="1" x14ac:dyDescent="0.25">
      <c r="A138" s="25">
        <v>2021</v>
      </c>
      <c r="B138" s="26">
        <v>11273</v>
      </c>
      <c r="C138" s="27" t="s">
        <v>222</v>
      </c>
      <c r="D138" s="27" t="s">
        <v>223</v>
      </c>
      <c r="E138" s="27" t="s">
        <v>156</v>
      </c>
      <c r="F138" s="28">
        <v>476</v>
      </c>
      <c r="G138" s="28">
        <v>0</v>
      </c>
      <c r="H138" s="28">
        <v>0</v>
      </c>
      <c r="I138" s="28">
        <v>0</v>
      </c>
      <c r="J138" s="28">
        <v>476</v>
      </c>
      <c r="K138" s="29" t="s">
        <v>39</v>
      </c>
      <c r="L138" s="29" t="s">
        <v>39</v>
      </c>
      <c r="M138" s="29" t="s">
        <v>39</v>
      </c>
      <c r="N138" s="29" t="s">
        <v>39</v>
      </c>
      <c r="O138" s="29" t="s">
        <v>39</v>
      </c>
      <c r="P138" s="30">
        <v>2.14</v>
      </c>
      <c r="Q138" s="30" t="s">
        <v>39</v>
      </c>
      <c r="R138" s="30" t="s">
        <v>39</v>
      </c>
      <c r="S138" s="30" t="s">
        <v>39</v>
      </c>
      <c r="T138" s="30">
        <v>2.14</v>
      </c>
      <c r="U138" s="31">
        <v>1.07</v>
      </c>
      <c r="V138" s="31" t="s">
        <v>39</v>
      </c>
      <c r="W138" s="31" t="s">
        <v>39</v>
      </c>
      <c r="X138" s="31" t="s">
        <v>39</v>
      </c>
      <c r="Y138" s="31">
        <v>1.07</v>
      </c>
      <c r="Z138" s="32">
        <v>57.12</v>
      </c>
      <c r="AA138" s="32" t="s">
        <v>39</v>
      </c>
      <c r="AB138" s="32" t="s">
        <v>39</v>
      </c>
      <c r="AC138" s="32" t="s">
        <v>39</v>
      </c>
      <c r="AD138" s="32">
        <v>57.12</v>
      </c>
      <c r="AE138" s="33" t="s">
        <v>39</v>
      </c>
      <c r="AF138" s="33" t="s">
        <v>39</v>
      </c>
      <c r="AG138" s="33" t="s">
        <v>39</v>
      </c>
      <c r="AH138" s="33" t="s">
        <v>39</v>
      </c>
      <c r="AI138" s="33" t="s">
        <v>39</v>
      </c>
      <c r="AJ138" s="34" t="s">
        <v>39</v>
      </c>
    </row>
    <row r="139" spans="1:36" ht="63.6" customHeight="1" x14ac:dyDescent="0.25">
      <c r="A139" s="25">
        <v>2021</v>
      </c>
      <c r="B139" s="26">
        <v>11291</v>
      </c>
      <c r="C139" s="27" t="s">
        <v>224</v>
      </c>
      <c r="D139" s="27" t="s">
        <v>79</v>
      </c>
      <c r="E139" s="27" t="s">
        <v>86</v>
      </c>
      <c r="F139" s="28">
        <v>2544</v>
      </c>
      <c r="G139" s="28" t="s">
        <v>39</v>
      </c>
      <c r="H139" s="28" t="s">
        <v>39</v>
      </c>
      <c r="I139" s="28" t="s">
        <v>39</v>
      </c>
      <c r="J139" s="28">
        <v>2544</v>
      </c>
      <c r="K139" s="29">
        <v>114.3</v>
      </c>
      <c r="L139" s="29" t="s">
        <v>39</v>
      </c>
      <c r="M139" s="29" t="s">
        <v>39</v>
      </c>
      <c r="N139" s="29" t="s">
        <v>39</v>
      </c>
      <c r="O139" s="29">
        <v>114.3</v>
      </c>
      <c r="P139" s="30">
        <v>3.3</v>
      </c>
      <c r="Q139" s="30" t="s">
        <v>39</v>
      </c>
      <c r="R139" s="30" t="s">
        <v>39</v>
      </c>
      <c r="S139" s="30" t="s">
        <v>39</v>
      </c>
      <c r="T139" s="30">
        <v>3.3</v>
      </c>
      <c r="U139" s="31">
        <v>3.3</v>
      </c>
      <c r="V139" s="31" t="s">
        <v>39</v>
      </c>
      <c r="W139" s="31" t="s">
        <v>39</v>
      </c>
      <c r="X139" s="31" t="s">
        <v>39</v>
      </c>
      <c r="Y139" s="31">
        <v>3.3</v>
      </c>
      <c r="Z139" s="32">
        <v>18640</v>
      </c>
      <c r="AA139" s="32" t="s">
        <v>39</v>
      </c>
      <c r="AB139" s="32" t="s">
        <v>39</v>
      </c>
      <c r="AC139" s="32" t="s">
        <v>39</v>
      </c>
      <c r="AD139" s="32">
        <v>18640</v>
      </c>
      <c r="AE139" s="33">
        <v>7546.5</v>
      </c>
      <c r="AF139" s="33" t="s">
        <v>39</v>
      </c>
      <c r="AG139" s="33" t="s">
        <v>39</v>
      </c>
      <c r="AH139" s="33" t="s">
        <v>39</v>
      </c>
      <c r="AI139" s="33">
        <v>7546.5</v>
      </c>
      <c r="AJ139" s="34">
        <v>172</v>
      </c>
    </row>
    <row r="140" spans="1:36" ht="38.450000000000003" customHeight="1" x14ac:dyDescent="0.25">
      <c r="A140" s="25">
        <v>2021</v>
      </c>
      <c r="B140" s="26">
        <v>11475</v>
      </c>
      <c r="C140" s="27" t="s">
        <v>225</v>
      </c>
      <c r="D140" s="27" t="s">
        <v>76</v>
      </c>
      <c r="E140" s="27" t="s">
        <v>49</v>
      </c>
      <c r="F140" s="28">
        <v>2043</v>
      </c>
      <c r="G140" s="28">
        <v>0</v>
      </c>
      <c r="H140" s="28">
        <v>0</v>
      </c>
      <c r="I140" s="28">
        <v>0</v>
      </c>
      <c r="J140" s="28">
        <v>2043</v>
      </c>
      <c r="K140" s="29">
        <v>95</v>
      </c>
      <c r="L140" s="29">
        <v>0</v>
      </c>
      <c r="M140" s="29">
        <v>0</v>
      </c>
      <c r="N140" s="29">
        <v>0</v>
      </c>
      <c r="O140" s="29">
        <v>95</v>
      </c>
      <c r="P140" s="30">
        <v>16</v>
      </c>
      <c r="Q140" s="30">
        <v>0</v>
      </c>
      <c r="R140" s="30">
        <v>0</v>
      </c>
      <c r="S140" s="30">
        <v>0</v>
      </c>
      <c r="T140" s="30">
        <v>16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2">
        <v>177</v>
      </c>
      <c r="AA140" s="32">
        <v>0</v>
      </c>
      <c r="AB140" s="32">
        <v>0</v>
      </c>
      <c r="AC140" s="32">
        <v>0</v>
      </c>
      <c r="AD140" s="32">
        <v>177</v>
      </c>
      <c r="AE140" s="33">
        <v>19</v>
      </c>
      <c r="AF140" s="33">
        <v>0</v>
      </c>
      <c r="AG140" s="33">
        <v>0</v>
      </c>
      <c r="AH140" s="33">
        <v>0</v>
      </c>
      <c r="AI140" s="33">
        <v>19</v>
      </c>
      <c r="AJ140" s="34" t="s">
        <v>39</v>
      </c>
    </row>
    <row r="141" spans="1:36" ht="51" customHeight="1" x14ac:dyDescent="0.25">
      <c r="A141" s="25">
        <v>2021</v>
      </c>
      <c r="B141" s="26">
        <v>11501</v>
      </c>
      <c r="C141" s="27" t="s">
        <v>226</v>
      </c>
      <c r="D141" s="27" t="s">
        <v>67</v>
      </c>
      <c r="E141" s="27" t="s">
        <v>68</v>
      </c>
      <c r="F141" s="28">
        <v>1092</v>
      </c>
      <c r="G141" s="28" t="s">
        <v>39</v>
      </c>
      <c r="H141" s="28" t="s">
        <v>39</v>
      </c>
      <c r="I141" s="28" t="s">
        <v>39</v>
      </c>
      <c r="J141" s="28">
        <v>1092</v>
      </c>
      <c r="K141" s="29">
        <v>5.6</v>
      </c>
      <c r="L141" s="29" t="s">
        <v>39</v>
      </c>
      <c r="M141" s="29" t="s">
        <v>39</v>
      </c>
      <c r="N141" s="29" t="s">
        <v>39</v>
      </c>
      <c r="O141" s="29">
        <v>5.6</v>
      </c>
      <c r="P141" s="30">
        <v>2.5</v>
      </c>
      <c r="Q141" s="30" t="s">
        <v>39</v>
      </c>
      <c r="R141" s="30" t="s">
        <v>39</v>
      </c>
      <c r="S141" s="30" t="s">
        <v>39</v>
      </c>
      <c r="T141" s="30">
        <v>2.5</v>
      </c>
      <c r="U141" s="31">
        <v>2.2000000000000002</v>
      </c>
      <c r="V141" s="31" t="s">
        <v>39</v>
      </c>
      <c r="W141" s="31" t="s">
        <v>39</v>
      </c>
      <c r="X141" s="31" t="s">
        <v>39</v>
      </c>
      <c r="Y141" s="31">
        <v>2.2000000000000002</v>
      </c>
      <c r="Z141" s="32">
        <v>27.3</v>
      </c>
      <c r="AA141" s="32" t="s">
        <v>39</v>
      </c>
      <c r="AB141" s="32" t="s">
        <v>39</v>
      </c>
      <c r="AC141" s="32" t="s">
        <v>39</v>
      </c>
      <c r="AD141" s="32">
        <v>27.3</v>
      </c>
      <c r="AE141" s="33">
        <v>25</v>
      </c>
      <c r="AF141" s="33" t="s">
        <v>39</v>
      </c>
      <c r="AG141" s="33" t="s">
        <v>39</v>
      </c>
      <c r="AH141" s="33" t="s">
        <v>39</v>
      </c>
      <c r="AI141" s="33">
        <v>25</v>
      </c>
      <c r="AJ141" s="34" t="s">
        <v>39</v>
      </c>
    </row>
    <row r="142" spans="1:36" ht="38.450000000000003" customHeight="1" x14ac:dyDescent="0.25">
      <c r="A142" s="25">
        <v>2021</v>
      </c>
      <c r="B142" s="26">
        <v>11560</v>
      </c>
      <c r="C142" s="27" t="s">
        <v>227</v>
      </c>
      <c r="D142" s="27" t="s">
        <v>57</v>
      </c>
      <c r="E142" s="27" t="s">
        <v>52</v>
      </c>
      <c r="F142" s="28">
        <v>1976</v>
      </c>
      <c r="G142" s="28" t="s">
        <v>39</v>
      </c>
      <c r="H142" s="28" t="s">
        <v>39</v>
      </c>
      <c r="I142" s="28" t="s">
        <v>39</v>
      </c>
      <c r="J142" s="28">
        <v>1976</v>
      </c>
      <c r="K142" s="29">
        <v>8.3789999999999996</v>
      </c>
      <c r="L142" s="29" t="s">
        <v>39</v>
      </c>
      <c r="M142" s="29" t="s">
        <v>39</v>
      </c>
      <c r="N142" s="29" t="s">
        <v>39</v>
      </c>
      <c r="O142" s="29">
        <v>8.3789999999999996</v>
      </c>
      <c r="P142" s="30">
        <v>0.69799999999999995</v>
      </c>
      <c r="Q142" s="30" t="s">
        <v>39</v>
      </c>
      <c r="R142" s="30" t="s">
        <v>39</v>
      </c>
      <c r="S142" s="30" t="s">
        <v>39</v>
      </c>
      <c r="T142" s="30">
        <v>0.69799999999999995</v>
      </c>
      <c r="U142" s="31">
        <v>0.69799999999999995</v>
      </c>
      <c r="V142" s="31" t="s">
        <v>39</v>
      </c>
      <c r="W142" s="31" t="s">
        <v>39</v>
      </c>
      <c r="X142" s="31" t="s">
        <v>39</v>
      </c>
      <c r="Y142" s="31">
        <v>0.69799999999999995</v>
      </c>
      <c r="Z142" s="32" t="s">
        <v>39</v>
      </c>
      <c r="AA142" s="32" t="s">
        <v>39</v>
      </c>
      <c r="AB142" s="32" t="s">
        <v>39</v>
      </c>
      <c r="AC142" s="32" t="s">
        <v>39</v>
      </c>
      <c r="AD142" s="32" t="s">
        <v>39</v>
      </c>
      <c r="AE142" s="33">
        <v>26.1</v>
      </c>
      <c r="AF142" s="33" t="s">
        <v>39</v>
      </c>
      <c r="AG142" s="33" t="s">
        <v>39</v>
      </c>
      <c r="AH142" s="33" t="s">
        <v>39</v>
      </c>
      <c r="AI142" s="33">
        <v>26.1</v>
      </c>
      <c r="AJ142" s="34" t="s">
        <v>39</v>
      </c>
    </row>
    <row r="143" spans="1:36" ht="38.450000000000003" customHeight="1" x14ac:dyDescent="0.25">
      <c r="A143" s="25">
        <v>2021</v>
      </c>
      <c r="B143" s="26">
        <v>11731</v>
      </c>
      <c r="C143" s="27" t="s">
        <v>228</v>
      </c>
      <c r="D143" s="27" t="s">
        <v>48</v>
      </c>
      <c r="E143" s="27" t="s">
        <v>49</v>
      </c>
      <c r="F143" s="28">
        <v>3860</v>
      </c>
      <c r="G143" s="28">
        <v>459</v>
      </c>
      <c r="H143" s="28">
        <v>93</v>
      </c>
      <c r="I143" s="28">
        <v>0</v>
      </c>
      <c r="J143" s="28">
        <v>4412</v>
      </c>
      <c r="K143" s="29">
        <v>711.99400000000003</v>
      </c>
      <c r="L143" s="29">
        <v>3850.9870000000001</v>
      </c>
      <c r="M143" s="29">
        <v>441.76400000000001</v>
      </c>
      <c r="N143" s="29" t="s">
        <v>39</v>
      </c>
      <c r="O143" s="29">
        <v>5004.7449999999999</v>
      </c>
      <c r="P143" s="30">
        <v>3.4689999999999999</v>
      </c>
      <c r="Q143" s="30">
        <v>4.0910000000000002</v>
      </c>
      <c r="R143" s="30">
        <v>1.3080000000000001</v>
      </c>
      <c r="S143" s="30" t="s">
        <v>39</v>
      </c>
      <c r="T143" s="30">
        <v>8.8680000000000003</v>
      </c>
      <c r="U143" s="31">
        <v>3.4689999999999999</v>
      </c>
      <c r="V143" s="31">
        <v>4.0910000000000002</v>
      </c>
      <c r="W143" s="31">
        <v>1.3080000000000001</v>
      </c>
      <c r="X143" s="31" t="s">
        <v>39</v>
      </c>
      <c r="Y143" s="31">
        <v>8.8680000000000003</v>
      </c>
      <c r="Z143" s="32">
        <v>98.852999999999994</v>
      </c>
      <c r="AA143" s="32">
        <v>324.94099999999997</v>
      </c>
      <c r="AB143" s="32">
        <v>107.34</v>
      </c>
      <c r="AC143" s="32" t="s">
        <v>39</v>
      </c>
      <c r="AD143" s="32">
        <v>531.13400000000001</v>
      </c>
      <c r="AE143" s="33">
        <v>36.304000000000002</v>
      </c>
      <c r="AF143" s="33">
        <v>21.783999999999999</v>
      </c>
      <c r="AG143" s="33">
        <v>4.7050000000000001</v>
      </c>
      <c r="AH143" s="33" t="s">
        <v>39</v>
      </c>
      <c r="AI143" s="33">
        <v>62.792999999999999</v>
      </c>
      <c r="AJ143" s="34">
        <v>10</v>
      </c>
    </row>
    <row r="144" spans="1:36" ht="38.450000000000003" customHeight="1" x14ac:dyDescent="0.25">
      <c r="A144" s="25">
        <v>2021</v>
      </c>
      <c r="B144" s="26">
        <v>11811</v>
      </c>
      <c r="C144" s="27" t="s">
        <v>229</v>
      </c>
      <c r="D144" s="27" t="s">
        <v>93</v>
      </c>
      <c r="E144" s="27" t="s">
        <v>94</v>
      </c>
      <c r="F144" s="28">
        <v>738</v>
      </c>
      <c r="G144" s="28">
        <v>1</v>
      </c>
      <c r="H144" s="28" t="s">
        <v>39</v>
      </c>
      <c r="I144" s="28" t="s">
        <v>39</v>
      </c>
      <c r="J144" s="28">
        <v>739</v>
      </c>
      <c r="K144" s="29" t="s">
        <v>39</v>
      </c>
      <c r="L144" s="29" t="s">
        <v>39</v>
      </c>
      <c r="M144" s="29" t="s">
        <v>39</v>
      </c>
      <c r="N144" s="29" t="s">
        <v>39</v>
      </c>
      <c r="O144" s="29" t="s">
        <v>39</v>
      </c>
      <c r="P144" s="30">
        <v>2.21</v>
      </c>
      <c r="Q144" s="30">
        <v>0.27200000000000002</v>
      </c>
      <c r="R144" s="30" t="s">
        <v>39</v>
      </c>
      <c r="S144" s="30" t="s">
        <v>39</v>
      </c>
      <c r="T144" s="30">
        <v>2.4820000000000002</v>
      </c>
      <c r="U144" s="31" t="s">
        <v>39</v>
      </c>
      <c r="V144" s="31" t="s">
        <v>39</v>
      </c>
      <c r="W144" s="31" t="s">
        <v>39</v>
      </c>
      <c r="X144" s="31" t="s">
        <v>39</v>
      </c>
      <c r="Y144" s="31" t="s">
        <v>39</v>
      </c>
      <c r="Z144" s="32" t="s">
        <v>39</v>
      </c>
      <c r="AA144" s="32" t="s">
        <v>39</v>
      </c>
      <c r="AB144" s="32" t="s">
        <v>39</v>
      </c>
      <c r="AC144" s="32" t="s">
        <v>39</v>
      </c>
      <c r="AD144" s="32" t="s">
        <v>39</v>
      </c>
      <c r="AE144" s="33" t="s">
        <v>39</v>
      </c>
      <c r="AF144" s="33" t="s">
        <v>39</v>
      </c>
      <c r="AG144" s="33" t="s">
        <v>39</v>
      </c>
      <c r="AH144" s="33" t="s">
        <v>39</v>
      </c>
      <c r="AI144" s="33" t="s">
        <v>39</v>
      </c>
      <c r="AJ144" s="34" t="s">
        <v>39</v>
      </c>
    </row>
    <row r="145" spans="1:36" ht="38.450000000000003" customHeight="1" x14ac:dyDescent="0.25">
      <c r="A145" s="25">
        <v>2021</v>
      </c>
      <c r="B145" s="26">
        <v>11843</v>
      </c>
      <c r="C145" s="27" t="s">
        <v>230</v>
      </c>
      <c r="D145" s="27" t="s">
        <v>182</v>
      </c>
      <c r="E145" s="27" t="s">
        <v>46</v>
      </c>
      <c r="F145" s="28">
        <v>76</v>
      </c>
      <c r="G145" s="28">
        <v>26</v>
      </c>
      <c r="H145" s="28">
        <v>0</v>
      </c>
      <c r="I145" s="28">
        <v>0</v>
      </c>
      <c r="J145" s="28">
        <v>102</v>
      </c>
      <c r="K145" s="29">
        <v>0.64600000000000002</v>
      </c>
      <c r="L145" s="29">
        <v>37.936</v>
      </c>
      <c r="M145" s="29">
        <v>0</v>
      </c>
      <c r="N145" s="29">
        <v>0</v>
      </c>
      <c r="O145" s="29">
        <v>38.582000000000001</v>
      </c>
      <c r="P145" s="30">
        <v>1.9E-2</v>
      </c>
      <c r="Q145" s="30">
        <v>4.8019999999999996</v>
      </c>
      <c r="R145" s="30">
        <v>0</v>
      </c>
      <c r="S145" s="30">
        <v>0</v>
      </c>
      <c r="T145" s="30">
        <v>4.8209999999999997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2">
        <v>0.29599999999999999</v>
      </c>
      <c r="AA145" s="32">
        <v>174.15100000000001</v>
      </c>
      <c r="AB145" s="32">
        <v>0</v>
      </c>
      <c r="AC145" s="32">
        <v>0</v>
      </c>
      <c r="AD145" s="32">
        <v>174.447</v>
      </c>
      <c r="AE145" s="33">
        <v>4.6509999999999998</v>
      </c>
      <c r="AF145" s="33">
        <v>26.291</v>
      </c>
      <c r="AG145" s="33">
        <v>0</v>
      </c>
      <c r="AH145" s="33">
        <v>0</v>
      </c>
      <c r="AI145" s="33">
        <v>30.942</v>
      </c>
      <c r="AJ145" s="34" t="s">
        <v>39</v>
      </c>
    </row>
    <row r="146" spans="1:36" ht="51" customHeight="1" x14ac:dyDescent="0.25">
      <c r="A146" s="25">
        <v>2021</v>
      </c>
      <c r="B146" s="26">
        <v>12199</v>
      </c>
      <c r="C146" s="27" t="s">
        <v>231</v>
      </c>
      <c r="D146" s="27" t="s">
        <v>155</v>
      </c>
      <c r="E146" s="27" t="s">
        <v>77</v>
      </c>
      <c r="F146" s="28" t="s">
        <v>39</v>
      </c>
      <c r="G146" s="28">
        <v>2</v>
      </c>
      <c r="H146" s="28">
        <v>12</v>
      </c>
      <c r="I146" s="28" t="s">
        <v>39</v>
      </c>
      <c r="J146" s="28">
        <v>14</v>
      </c>
      <c r="K146" s="29" t="s">
        <v>39</v>
      </c>
      <c r="L146" s="29" t="s">
        <v>39</v>
      </c>
      <c r="M146" s="29" t="s">
        <v>39</v>
      </c>
      <c r="N146" s="29" t="s">
        <v>39</v>
      </c>
      <c r="O146" s="29" t="s">
        <v>39</v>
      </c>
      <c r="P146" s="30" t="s">
        <v>39</v>
      </c>
      <c r="Q146" s="30">
        <v>0.47899999999999998</v>
      </c>
      <c r="R146" s="30">
        <v>21.384</v>
      </c>
      <c r="S146" s="30" t="s">
        <v>39</v>
      </c>
      <c r="T146" s="30">
        <v>21.863</v>
      </c>
      <c r="U146" s="31" t="s">
        <v>39</v>
      </c>
      <c r="V146" s="31" t="s">
        <v>39</v>
      </c>
      <c r="W146" s="31" t="s">
        <v>39</v>
      </c>
      <c r="X146" s="31" t="s">
        <v>39</v>
      </c>
      <c r="Y146" s="31" t="s">
        <v>39</v>
      </c>
      <c r="Z146" s="32" t="s">
        <v>39</v>
      </c>
      <c r="AA146" s="32">
        <v>16.831</v>
      </c>
      <c r="AB146" s="32">
        <v>751.94500000000005</v>
      </c>
      <c r="AC146" s="32" t="s">
        <v>39</v>
      </c>
      <c r="AD146" s="32">
        <v>768.77599999999995</v>
      </c>
      <c r="AE146" s="33" t="s">
        <v>39</v>
      </c>
      <c r="AF146" s="33">
        <v>7.2130000000000001</v>
      </c>
      <c r="AG146" s="33">
        <v>322.262</v>
      </c>
      <c r="AH146" s="33" t="s">
        <v>39</v>
      </c>
      <c r="AI146" s="33">
        <v>329.47500000000002</v>
      </c>
      <c r="AJ146" s="34" t="s">
        <v>39</v>
      </c>
    </row>
    <row r="147" spans="1:36" ht="51" customHeight="1" x14ac:dyDescent="0.25">
      <c r="A147" s="25">
        <v>2021</v>
      </c>
      <c r="B147" s="26">
        <v>12199</v>
      </c>
      <c r="C147" s="27" t="s">
        <v>231</v>
      </c>
      <c r="D147" s="27" t="s">
        <v>84</v>
      </c>
      <c r="E147" s="27" t="s">
        <v>49</v>
      </c>
      <c r="F147" s="28" t="s">
        <v>39</v>
      </c>
      <c r="G147" s="28">
        <v>21</v>
      </c>
      <c r="H147" s="28">
        <v>5</v>
      </c>
      <c r="I147" s="28" t="s">
        <v>39</v>
      </c>
      <c r="J147" s="28">
        <v>26</v>
      </c>
      <c r="K147" s="29" t="s">
        <v>39</v>
      </c>
      <c r="L147" s="29" t="s">
        <v>39</v>
      </c>
      <c r="M147" s="29" t="s">
        <v>39</v>
      </c>
      <c r="N147" s="29" t="s">
        <v>39</v>
      </c>
      <c r="O147" s="29" t="s">
        <v>39</v>
      </c>
      <c r="P147" s="30" t="s">
        <v>39</v>
      </c>
      <c r="Q147" s="30">
        <v>7.34</v>
      </c>
      <c r="R147" s="30">
        <v>10.4</v>
      </c>
      <c r="S147" s="30" t="s">
        <v>39</v>
      </c>
      <c r="T147" s="30">
        <v>17.739999999999998</v>
      </c>
      <c r="U147" s="31" t="s">
        <v>39</v>
      </c>
      <c r="V147" s="31" t="s">
        <v>39</v>
      </c>
      <c r="W147" s="31" t="s">
        <v>39</v>
      </c>
      <c r="X147" s="31" t="s">
        <v>39</v>
      </c>
      <c r="Y147" s="31" t="s">
        <v>39</v>
      </c>
      <c r="Z147" s="32" t="s">
        <v>39</v>
      </c>
      <c r="AA147" s="32">
        <v>395.59199999999998</v>
      </c>
      <c r="AB147" s="32">
        <v>560.52499999999998</v>
      </c>
      <c r="AC147" s="32" t="s">
        <v>39</v>
      </c>
      <c r="AD147" s="32">
        <v>956.11699999999996</v>
      </c>
      <c r="AE147" s="33" t="s">
        <v>39</v>
      </c>
      <c r="AF147" s="33">
        <v>27.343</v>
      </c>
      <c r="AG147" s="33">
        <v>23.577000000000002</v>
      </c>
      <c r="AH147" s="33" t="s">
        <v>39</v>
      </c>
      <c r="AI147" s="33">
        <v>50.92</v>
      </c>
      <c r="AJ147" s="34" t="s">
        <v>39</v>
      </c>
    </row>
    <row r="148" spans="1:36" ht="51" customHeight="1" x14ac:dyDescent="0.25">
      <c r="A148" s="25">
        <v>2021</v>
      </c>
      <c r="B148" s="26">
        <v>12199</v>
      </c>
      <c r="C148" s="27" t="s">
        <v>231</v>
      </c>
      <c r="D148" s="27" t="s">
        <v>223</v>
      </c>
      <c r="E148" s="27" t="s">
        <v>186</v>
      </c>
      <c r="F148" s="28">
        <v>723</v>
      </c>
      <c r="G148" s="28" t="s">
        <v>39</v>
      </c>
      <c r="H148" s="28" t="s">
        <v>39</v>
      </c>
      <c r="I148" s="28" t="s">
        <v>39</v>
      </c>
      <c r="J148" s="28">
        <v>723</v>
      </c>
      <c r="K148" s="29">
        <v>336.15899999999999</v>
      </c>
      <c r="L148" s="29" t="s">
        <v>39</v>
      </c>
      <c r="M148" s="29" t="s">
        <v>39</v>
      </c>
      <c r="N148" s="29" t="s">
        <v>39</v>
      </c>
      <c r="O148" s="29">
        <v>336.15899999999999</v>
      </c>
      <c r="P148" s="30">
        <v>15.819000000000001</v>
      </c>
      <c r="Q148" s="30" t="s">
        <v>39</v>
      </c>
      <c r="R148" s="30" t="s">
        <v>39</v>
      </c>
      <c r="S148" s="30" t="s">
        <v>39</v>
      </c>
      <c r="T148" s="30">
        <v>15.819000000000001</v>
      </c>
      <c r="U148" s="31">
        <v>2.7839999999999998</v>
      </c>
      <c r="V148" s="31" t="s">
        <v>39</v>
      </c>
      <c r="W148" s="31" t="s">
        <v>39</v>
      </c>
      <c r="X148" s="31" t="s">
        <v>39</v>
      </c>
      <c r="Y148" s="31">
        <v>2.7839999999999998</v>
      </c>
      <c r="Z148" s="32">
        <v>180.20099999999999</v>
      </c>
      <c r="AA148" s="32" t="s">
        <v>39</v>
      </c>
      <c r="AB148" s="32" t="s">
        <v>39</v>
      </c>
      <c r="AC148" s="32" t="s">
        <v>39</v>
      </c>
      <c r="AD148" s="32">
        <v>180.20099999999999</v>
      </c>
      <c r="AE148" s="33">
        <v>180.20099999999999</v>
      </c>
      <c r="AF148" s="33" t="s">
        <v>39</v>
      </c>
      <c r="AG148" s="33" t="s">
        <v>39</v>
      </c>
      <c r="AH148" s="33" t="s">
        <v>39</v>
      </c>
      <c r="AI148" s="33">
        <v>180.20099999999999</v>
      </c>
      <c r="AJ148" s="34" t="s">
        <v>39</v>
      </c>
    </row>
    <row r="149" spans="1:36" ht="38.450000000000003" customHeight="1" x14ac:dyDescent="0.25">
      <c r="A149" s="25">
        <v>2021</v>
      </c>
      <c r="B149" s="26">
        <v>12208</v>
      </c>
      <c r="C149" s="27" t="s">
        <v>232</v>
      </c>
      <c r="D149" s="27" t="s">
        <v>207</v>
      </c>
      <c r="E149" s="27" t="s">
        <v>77</v>
      </c>
      <c r="F149" s="28" t="s">
        <v>39</v>
      </c>
      <c r="G149" s="28">
        <v>16</v>
      </c>
      <c r="H149" s="28" t="s">
        <v>39</v>
      </c>
      <c r="I149" s="28" t="s">
        <v>39</v>
      </c>
      <c r="J149" s="28">
        <v>16</v>
      </c>
      <c r="K149" s="29" t="s">
        <v>39</v>
      </c>
      <c r="L149" s="29" t="s">
        <v>39</v>
      </c>
      <c r="M149" s="29" t="s">
        <v>39</v>
      </c>
      <c r="N149" s="29" t="s">
        <v>39</v>
      </c>
      <c r="O149" s="29" t="s">
        <v>39</v>
      </c>
      <c r="P149" s="30" t="s">
        <v>39</v>
      </c>
      <c r="Q149" s="30">
        <v>1</v>
      </c>
      <c r="R149" s="30" t="s">
        <v>39</v>
      </c>
      <c r="S149" s="30" t="s">
        <v>39</v>
      </c>
      <c r="T149" s="30">
        <v>1</v>
      </c>
      <c r="U149" s="31" t="s">
        <v>39</v>
      </c>
      <c r="V149" s="31">
        <v>1</v>
      </c>
      <c r="W149" s="31" t="s">
        <v>39</v>
      </c>
      <c r="X149" s="31" t="s">
        <v>39</v>
      </c>
      <c r="Y149" s="31">
        <v>1</v>
      </c>
      <c r="Z149" s="32" t="s">
        <v>39</v>
      </c>
      <c r="AA149" s="32">
        <v>12</v>
      </c>
      <c r="AB149" s="32" t="s">
        <v>39</v>
      </c>
      <c r="AC149" s="32" t="s">
        <v>39</v>
      </c>
      <c r="AD149" s="32">
        <v>12</v>
      </c>
      <c r="AE149" s="33" t="s">
        <v>39</v>
      </c>
      <c r="AF149" s="33">
        <v>1</v>
      </c>
      <c r="AG149" s="33" t="s">
        <v>39</v>
      </c>
      <c r="AH149" s="33" t="s">
        <v>39</v>
      </c>
      <c r="AI149" s="33">
        <v>1</v>
      </c>
      <c r="AJ149" s="34" t="s">
        <v>39</v>
      </c>
    </row>
    <row r="150" spans="1:36" ht="63.6" customHeight="1" x14ac:dyDescent="0.25">
      <c r="A150" s="25">
        <v>2021</v>
      </c>
      <c r="B150" s="26">
        <v>12260</v>
      </c>
      <c r="C150" s="27" t="s">
        <v>233</v>
      </c>
      <c r="D150" s="27" t="s">
        <v>57</v>
      </c>
      <c r="E150" s="27" t="s">
        <v>52</v>
      </c>
      <c r="F150" s="28" t="s">
        <v>39</v>
      </c>
      <c r="G150" s="28" t="s">
        <v>39</v>
      </c>
      <c r="H150" s="28">
        <v>5</v>
      </c>
      <c r="I150" s="28" t="s">
        <v>39</v>
      </c>
      <c r="J150" s="28">
        <v>5</v>
      </c>
      <c r="K150" s="29" t="s">
        <v>39</v>
      </c>
      <c r="L150" s="29" t="s">
        <v>39</v>
      </c>
      <c r="M150" s="29">
        <v>245</v>
      </c>
      <c r="N150" s="29" t="s">
        <v>39</v>
      </c>
      <c r="O150" s="29">
        <v>245</v>
      </c>
      <c r="P150" s="30" t="s">
        <v>39</v>
      </c>
      <c r="Q150" s="30" t="s">
        <v>39</v>
      </c>
      <c r="R150" s="30">
        <v>5</v>
      </c>
      <c r="S150" s="30" t="s">
        <v>39</v>
      </c>
      <c r="T150" s="30">
        <v>5</v>
      </c>
      <c r="U150" s="31" t="s">
        <v>39</v>
      </c>
      <c r="V150" s="31" t="s">
        <v>39</v>
      </c>
      <c r="W150" s="31">
        <v>2</v>
      </c>
      <c r="X150" s="31" t="s">
        <v>39</v>
      </c>
      <c r="Y150" s="31">
        <v>2</v>
      </c>
      <c r="Z150" s="32" t="s">
        <v>39</v>
      </c>
      <c r="AA150" s="32" t="s">
        <v>39</v>
      </c>
      <c r="AB150" s="32">
        <v>2.7719999999999998</v>
      </c>
      <c r="AC150" s="32" t="s">
        <v>39</v>
      </c>
      <c r="AD150" s="32">
        <v>2.7719999999999998</v>
      </c>
      <c r="AE150" s="33" t="s">
        <v>39</v>
      </c>
      <c r="AF150" s="33" t="s">
        <v>39</v>
      </c>
      <c r="AG150" s="33" t="s">
        <v>39</v>
      </c>
      <c r="AH150" s="33" t="s">
        <v>39</v>
      </c>
      <c r="AI150" s="33" t="s">
        <v>39</v>
      </c>
      <c r="AJ150" s="34" t="s">
        <v>39</v>
      </c>
    </row>
    <row r="151" spans="1:36" ht="38.450000000000003" customHeight="1" x14ac:dyDescent="0.25">
      <c r="A151" s="25">
        <v>2021</v>
      </c>
      <c r="B151" s="26">
        <v>12268</v>
      </c>
      <c r="C151" s="27" t="s">
        <v>234</v>
      </c>
      <c r="D151" s="27" t="s">
        <v>67</v>
      </c>
      <c r="E151" s="27" t="s">
        <v>68</v>
      </c>
      <c r="F151" s="28" t="s">
        <v>39</v>
      </c>
      <c r="G151" s="28">
        <v>763</v>
      </c>
      <c r="H151" s="28" t="s">
        <v>39</v>
      </c>
      <c r="I151" s="28" t="s">
        <v>39</v>
      </c>
      <c r="J151" s="28">
        <v>763</v>
      </c>
      <c r="K151" s="29" t="s">
        <v>39</v>
      </c>
      <c r="L151" s="29" t="s">
        <v>39</v>
      </c>
      <c r="M151" s="29" t="s">
        <v>39</v>
      </c>
      <c r="N151" s="29" t="s">
        <v>39</v>
      </c>
      <c r="O151" s="29" t="s">
        <v>39</v>
      </c>
      <c r="P151" s="30" t="s">
        <v>39</v>
      </c>
      <c r="Q151" s="30">
        <v>74.400000000000006</v>
      </c>
      <c r="R151" s="30" t="s">
        <v>39</v>
      </c>
      <c r="S151" s="30" t="s">
        <v>39</v>
      </c>
      <c r="T151" s="30">
        <v>74.400000000000006</v>
      </c>
      <c r="U151" s="31" t="s">
        <v>39</v>
      </c>
      <c r="V151" s="31">
        <v>29.7</v>
      </c>
      <c r="W151" s="31" t="s">
        <v>39</v>
      </c>
      <c r="X151" s="31" t="s">
        <v>39</v>
      </c>
      <c r="Y151" s="31">
        <v>29.7</v>
      </c>
      <c r="Z151" s="32" t="s">
        <v>39</v>
      </c>
      <c r="AA151" s="32" t="s">
        <v>39</v>
      </c>
      <c r="AB151" s="32" t="s">
        <v>39</v>
      </c>
      <c r="AC151" s="32" t="s">
        <v>39</v>
      </c>
      <c r="AD151" s="32" t="s">
        <v>39</v>
      </c>
      <c r="AE151" s="33" t="s">
        <v>39</v>
      </c>
      <c r="AF151" s="33">
        <v>206</v>
      </c>
      <c r="AG151" s="33" t="s">
        <v>39</v>
      </c>
      <c r="AH151" s="33" t="s">
        <v>39</v>
      </c>
      <c r="AI151" s="33">
        <v>206</v>
      </c>
      <c r="AJ151" s="34" t="s">
        <v>39</v>
      </c>
    </row>
    <row r="152" spans="1:36" ht="38.450000000000003" customHeight="1" x14ac:dyDescent="0.25">
      <c r="A152" s="25">
        <v>2021</v>
      </c>
      <c r="B152" s="26">
        <v>12301</v>
      </c>
      <c r="C152" s="27" t="s">
        <v>235</v>
      </c>
      <c r="D152" s="27" t="s">
        <v>84</v>
      </c>
      <c r="E152" s="27" t="s">
        <v>49</v>
      </c>
      <c r="F152" s="28">
        <v>5437</v>
      </c>
      <c r="G152" s="28" t="s">
        <v>39</v>
      </c>
      <c r="H152" s="28">
        <v>325</v>
      </c>
      <c r="I152" s="28" t="s">
        <v>39</v>
      </c>
      <c r="J152" s="28">
        <v>5762</v>
      </c>
      <c r="K152" s="29">
        <v>27550</v>
      </c>
      <c r="L152" s="29" t="s">
        <v>39</v>
      </c>
      <c r="M152" s="29">
        <v>602</v>
      </c>
      <c r="N152" s="29" t="s">
        <v>39</v>
      </c>
      <c r="O152" s="29">
        <v>28152</v>
      </c>
      <c r="P152" s="30">
        <v>137.41999999999999</v>
      </c>
      <c r="Q152" s="30" t="s">
        <v>39</v>
      </c>
      <c r="R152" s="30">
        <v>65.84</v>
      </c>
      <c r="S152" s="30" t="s">
        <v>39</v>
      </c>
      <c r="T152" s="30">
        <v>203.26</v>
      </c>
      <c r="U152" s="31">
        <v>51.35</v>
      </c>
      <c r="V152" s="31" t="s">
        <v>39</v>
      </c>
      <c r="W152" s="31">
        <v>45.34</v>
      </c>
      <c r="X152" s="31" t="s">
        <v>39</v>
      </c>
      <c r="Y152" s="31">
        <v>96.69</v>
      </c>
      <c r="Z152" s="32">
        <v>26.61</v>
      </c>
      <c r="AA152" s="32" t="s">
        <v>39</v>
      </c>
      <c r="AB152" s="32" t="s">
        <v>39</v>
      </c>
      <c r="AC152" s="32" t="s">
        <v>39</v>
      </c>
      <c r="AD152" s="32">
        <v>26.61</v>
      </c>
      <c r="AE152" s="33">
        <v>244.85</v>
      </c>
      <c r="AF152" s="33" t="s">
        <v>39</v>
      </c>
      <c r="AG152" s="33" t="s">
        <v>39</v>
      </c>
      <c r="AH152" s="33" t="s">
        <v>39</v>
      </c>
      <c r="AI152" s="33">
        <v>244.85</v>
      </c>
      <c r="AJ152" s="34" t="s">
        <v>39</v>
      </c>
    </row>
    <row r="153" spans="1:36" ht="51" customHeight="1" x14ac:dyDescent="0.25">
      <c r="A153" s="25">
        <v>2021</v>
      </c>
      <c r="B153" s="26">
        <v>12341</v>
      </c>
      <c r="C153" s="27" t="s">
        <v>236</v>
      </c>
      <c r="D153" s="27" t="s">
        <v>119</v>
      </c>
      <c r="E153" s="27" t="s">
        <v>49</v>
      </c>
      <c r="F153" s="28">
        <v>64847</v>
      </c>
      <c r="G153" s="28">
        <v>35</v>
      </c>
      <c r="H153" s="28">
        <v>56</v>
      </c>
      <c r="I153" s="28" t="s">
        <v>39</v>
      </c>
      <c r="J153" s="28">
        <v>64938</v>
      </c>
      <c r="K153" s="29">
        <v>164.9</v>
      </c>
      <c r="L153" s="29">
        <v>91.9</v>
      </c>
      <c r="M153" s="29">
        <v>520.79999999999995</v>
      </c>
      <c r="N153" s="29" t="s">
        <v>39</v>
      </c>
      <c r="O153" s="29">
        <v>777.6</v>
      </c>
      <c r="P153" s="30">
        <v>45</v>
      </c>
      <c r="Q153" s="30">
        <v>40.1</v>
      </c>
      <c r="R153" s="30">
        <v>227</v>
      </c>
      <c r="S153" s="30" t="s">
        <v>39</v>
      </c>
      <c r="T153" s="30">
        <v>312.10000000000002</v>
      </c>
      <c r="U153" s="31">
        <v>45</v>
      </c>
      <c r="V153" s="31">
        <v>40.1</v>
      </c>
      <c r="W153" s="31">
        <v>227</v>
      </c>
      <c r="X153" s="31" t="s">
        <v>39</v>
      </c>
      <c r="Y153" s="31">
        <v>312.10000000000002</v>
      </c>
      <c r="Z153" s="32">
        <v>1306</v>
      </c>
      <c r="AA153" s="32">
        <v>1057</v>
      </c>
      <c r="AB153" s="32">
        <v>5992</v>
      </c>
      <c r="AC153" s="32" t="s">
        <v>39</v>
      </c>
      <c r="AD153" s="32">
        <v>8355</v>
      </c>
      <c r="AE153" s="33">
        <v>1730</v>
      </c>
      <c r="AF153" s="33">
        <v>52</v>
      </c>
      <c r="AG153" s="33">
        <v>293</v>
      </c>
      <c r="AH153" s="33" t="s">
        <v>39</v>
      </c>
      <c r="AI153" s="33">
        <v>2075</v>
      </c>
      <c r="AJ153" s="34" t="s">
        <v>39</v>
      </c>
    </row>
    <row r="154" spans="1:36" ht="51" customHeight="1" x14ac:dyDescent="0.25">
      <c r="A154" s="25">
        <v>2021</v>
      </c>
      <c r="B154" s="26">
        <v>12341</v>
      </c>
      <c r="C154" s="27" t="s">
        <v>236</v>
      </c>
      <c r="D154" s="27" t="s">
        <v>105</v>
      </c>
      <c r="E154" s="27" t="s">
        <v>49</v>
      </c>
      <c r="F154" s="28">
        <v>3522</v>
      </c>
      <c r="G154" s="28">
        <v>2</v>
      </c>
      <c r="H154" s="28">
        <v>3</v>
      </c>
      <c r="I154" s="28" t="s">
        <v>39</v>
      </c>
      <c r="J154" s="28">
        <v>3527</v>
      </c>
      <c r="K154" s="29">
        <v>9.5</v>
      </c>
      <c r="L154" s="29">
        <v>6.4</v>
      </c>
      <c r="M154" s="29">
        <v>36</v>
      </c>
      <c r="N154" s="29" t="s">
        <v>39</v>
      </c>
      <c r="O154" s="29">
        <v>51.9</v>
      </c>
      <c r="P154" s="30">
        <v>2.5</v>
      </c>
      <c r="Q154" s="30">
        <v>4.7</v>
      </c>
      <c r="R154" s="30">
        <v>26.6</v>
      </c>
      <c r="S154" s="30" t="s">
        <v>39</v>
      </c>
      <c r="T154" s="30">
        <v>33.799999999999997</v>
      </c>
      <c r="U154" s="31">
        <v>2.5</v>
      </c>
      <c r="V154" s="31">
        <v>4.7</v>
      </c>
      <c r="W154" s="31">
        <v>26.6</v>
      </c>
      <c r="X154" s="31" t="s">
        <v>39</v>
      </c>
      <c r="Y154" s="31">
        <v>33.799999999999997</v>
      </c>
      <c r="Z154" s="32">
        <v>72</v>
      </c>
      <c r="AA154" s="32">
        <v>107</v>
      </c>
      <c r="AB154" s="32">
        <v>607</v>
      </c>
      <c r="AC154" s="32" t="s">
        <v>39</v>
      </c>
      <c r="AD154" s="32">
        <v>786</v>
      </c>
      <c r="AE154" s="33">
        <v>92</v>
      </c>
      <c r="AF154" s="33">
        <v>5</v>
      </c>
      <c r="AG154" s="33">
        <v>28</v>
      </c>
      <c r="AH154" s="33" t="s">
        <v>39</v>
      </c>
      <c r="AI154" s="33">
        <v>125</v>
      </c>
      <c r="AJ154" s="34" t="s">
        <v>39</v>
      </c>
    </row>
    <row r="155" spans="1:36" ht="51" customHeight="1" x14ac:dyDescent="0.25">
      <c r="A155" s="25">
        <v>2021</v>
      </c>
      <c r="B155" s="26">
        <v>12377</v>
      </c>
      <c r="C155" s="27" t="s">
        <v>237</v>
      </c>
      <c r="D155" s="27" t="s">
        <v>116</v>
      </c>
      <c r="E155" s="27" t="s">
        <v>52</v>
      </c>
      <c r="F155" s="28">
        <v>4433</v>
      </c>
      <c r="G155" s="28">
        <v>570</v>
      </c>
      <c r="H155" s="28" t="s">
        <v>39</v>
      </c>
      <c r="I155" s="28" t="s">
        <v>39</v>
      </c>
      <c r="J155" s="28">
        <v>5003</v>
      </c>
      <c r="K155" s="29" t="s">
        <v>39</v>
      </c>
      <c r="L155" s="29" t="s">
        <v>39</v>
      </c>
      <c r="M155" s="29" t="s">
        <v>39</v>
      </c>
      <c r="N155" s="29" t="s">
        <v>39</v>
      </c>
      <c r="O155" s="29" t="s">
        <v>39</v>
      </c>
      <c r="P155" s="30">
        <v>8</v>
      </c>
      <c r="Q155" s="30">
        <v>20</v>
      </c>
      <c r="R155" s="30" t="s">
        <v>39</v>
      </c>
      <c r="S155" s="30" t="s">
        <v>39</v>
      </c>
      <c r="T155" s="30">
        <v>28</v>
      </c>
      <c r="U155" s="31">
        <v>6</v>
      </c>
      <c r="V155" s="31">
        <v>10</v>
      </c>
      <c r="W155" s="31" t="s">
        <v>39</v>
      </c>
      <c r="X155" s="31" t="s">
        <v>39</v>
      </c>
      <c r="Y155" s="31">
        <v>16</v>
      </c>
      <c r="Z155" s="32">
        <v>914.69</v>
      </c>
      <c r="AA155" s="32">
        <v>5.6</v>
      </c>
      <c r="AB155" s="32" t="s">
        <v>39</v>
      </c>
      <c r="AC155" s="32" t="s">
        <v>39</v>
      </c>
      <c r="AD155" s="32">
        <v>920.29</v>
      </c>
      <c r="AE155" s="33">
        <v>76</v>
      </c>
      <c r="AF155" s="33">
        <v>1</v>
      </c>
      <c r="AG155" s="33" t="s">
        <v>39</v>
      </c>
      <c r="AH155" s="33" t="s">
        <v>39</v>
      </c>
      <c r="AI155" s="33">
        <v>77</v>
      </c>
      <c r="AJ155" s="34" t="s">
        <v>39</v>
      </c>
    </row>
    <row r="156" spans="1:36" ht="38.450000000000003" customHeight="1" x14ac:dyDescent="0.25">
      <c r="A156" s="25">
        <v>2021</v>
      </c>
      <c r="B156" s="26">
        <v>12395</v>
      </c>
      <c r="C156" s="27" t="s">
        <v>238</v>
      </c>
      <c r="D156" s="27" t="s">
        <v>105</v>
      </c>
      <c r="E156" s="27" t="s">
        <v>49</v>
      </c>
      <c r="F156" s="28">
        <v>965</v>
      </c>
      <c r="G156" s="28">
        <v>27</v>
      </c>
      <c r="H156" s="28">
        <v>1272</v>
      </c>
      <c r="I156" s="28" t="s">
        <v>39</v>
      </c>
      <c r="J156" s="28">
        <v>2264</v>
      </c>
      <c r="K156" s="29">
        <v>19.5</v>
      </c>
      <c r="L156" s="29">
        <v>0</v>
      </c>
      <c r="M156" s="29">
        <v>280.8</v>
      </c>
      <c r="N156" s="29" t="s">
        <v>39</v>
      </c>
      <c r="O156" s="29">
        <v>300.3</v>
      </c>
      <c r="P156" s="30">
        <v>0.75</v>
      </c>
      <c r="Q156" s="30">
        <v>5</v>
      </c>
      <c r="R156" s="30">
        <v>25</v>
      </c>
      <c r="S156" s="30" t="s">
        <v>39</v>
      </c>
      <c r="T156" s="30">
        <v>30.75</v>
      </c>
      <c r="U156" s="31">
        <v>0.5</v>
      </c>
      <c r="V156" s="31">
        <v>0</v>
      </c>
      <c r="W156" s="31">
        <v>15.2</v>
      </c>
      <c r="X156" s="31" t="s">
        <v>39</v>
      </c>
      <c r="Y156" s="31">
        <v>15.7</v>
      </c>
      <c r="Z156" s="32">
        <v>49.634</v>
      </c>
      <c r="AA156" s="32">
        <v>0.59</v>
      </c>
      <c r="AB156" s="32" t="s">
        <v>39</v>
      </c>
      <c r="AC156" s="32" t="s">
        <v>39</v>
      </c>
      <c r="AD156" s="32">
        <v>50.223999999999997</v>
      </c>
      <c r="AE156" s="33" t="s">
        <v>39</v>
      </c>
      <c r="AF156" s="33" t="s">
        <v>39</v>
      </c>
      <c r="AG156" s="33">
        <v>354.36200000000002</v>
      </c>
      <c r="AH156" s="33" t="s">
        <v>39</v>
      </c>
      <c r="AI156" s="33">
        <v>354.36200000000002</v>
      </c>
      <c r="AJ156" s="34" t="s">
        <v>39</v>
      </c>
    </row>
    <row r="157" spans="1:36" ht="51" customHeight="1" x14ac:dyDescent="0.25">
      <c r="A157" s="25">
        <v>2021</v>
      </c>
      <c r="B157" s="26">
        <v>12539</v>
      </c>
      <c r="C157" s="27" t="s">
        <v>239</v>
      </c>
      <c r="D157" s="27" t="s">
        <v>89</v>
      </c>
      <c r="E157" s="27" t="s">
        <v>186</v>
      </c>
      <c r="F157" s="28">
        <v>0</v>
      </c>
      <c r="G157" s="28">
        <v>0</v>
      </c>
      <c r="H157" s="28">
        <v>1560</v>
      </c>
      <c r="I157" s="28">
        <v>0</v>
      </c>
      <c r="J157" s="28">
        <v>1560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30">
        <v>0</v>
      </c>
      <c r="Q157" s="30">
        <v>0</v>
      </c>
      <c r="R157" s="30">
        <v>163.09100000000001</v>
      </c>
      <c r="S157" s="30">
        <v>0</v>
      </c>
      <c r="T157" s="30">
        <v>163.09100000000001</v>
      </c>
      <c r="U157" s="31">
        <v>0</v>
      </c>
      <c r="V157" s="31">
        <v>0</v>
      </c>
      <c r="W157" s="31">
        <v>17.876999999999999</v>
      </c>
      <c r="X157" s="31">
        <v>0</v>
      </c>
      <c r="Y157" s="31">
        <v>17.876999999999999</v>
      </c>
      <c r="Z157" s="32">
        <v>0</v>
      </c>
      <c r="AA157" s="32">
        <v>0</v>
      </c>
      <c r="AB157" s="32">
        <v>1793.105</v>
      </c>
      <c r="AC157" s="32">
        <v>0</v>
      </c>
      <c r="AD157" s="32">
        <v>1793.105</v>
      </c>
      <c r="AE157" s="33">
        <v>0</v>
      </c>
      <c r="AF157" s="33">
        <v>0</v>
      </c>
      <c r="AG157" s="33">
        <v>0</v>
      </c>
      <c r="AH157" s="33">
        <v>0</v>
      </c>
      <c r="AI157" s="33">
        <v>0</v>
      </c>
      <c r="AJ157" s="34" t="s">
        <v>39</v>
      </c>
    </row>
    <row r="158" spans="1:36" ht="26.1" customHeight="1" x14ac:dyDescent="0.25">
      <c r="A158" s="25">
        <v>2021</v>
      </c>
      <c r="B158" s="26">
        <v>12647</v>
      </c>
      <c r="C158" s="27" t="s">
        <v>240</v>
      </c>
      <c r="D158" s="27" t="s">
        <v>48</v>
      </c>
      <c r="E158" s="27" t="s">
        <v>49</v>
      </c>
      <c r="F158" s="28">
        <v>7271</v>
      </c>
      <c r="G158" s="28">
        <v>501</v>
      </c>
      <c r="H158" s="28">
        <v>6</v>
      </c>
      <c r="I158" s="28">
        <v>0</v>
      </c>
      <c r="J158" s="28">
        <v>7778</v>
      </c>
      <c r="K158" s="29">
        <v>2633</v>
      </c>
      <c r="L158" s="29">
        <v>781</v>
      </c>
      <c r="M158" s="29">
        <v>10</v>
      </c>
      <c r="N158" s="29">
        <v>0</v>
      </c>
      <c r="O158" s="29">
        <v>3424</v>
      </c>
      <c r="P158" s="30">
        <v>22</v>
      </c>
      <c r="Q158" s="30">
        <v>3</v>
      </c>
      <c r="R158" s="30">
        <v>280</v>
      </c>
      <c r="S158" s="30">
        <v>0</v>
      </c>
      <c r="T158" s="30">
        <v>305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2">
        <v>1864</v>
      </c>
      <c r="AA158" s="32">
        <v>590</v>
      </c>
      <c r="AB158" s="32">
        <v>3308</v>
      </c>
      <c r="AC158" s="32">
        <v>0</v>
      </c>
      <c r="AD158" s="32">
        <v>5762</v>
      </c>
      <c r="AE158" s="33" t="s">
        <v>39</v>
      </c>
      <c r="AF158" s="33" t="s">
        <v>39</v>
      </c>
      <c r="AG158" s="33" t="s">
        <v>39</v>
      </c>
      <c r="AH158" s="33" t="s">
        <v>39</v>
      </c>
      <c r="AI158" s="33" t="s">
        <v>39</v>
      </c>
      <c r="AJ158" s="34" t="s">
        <v>39</v>
      </c>
    </row>
    <row r="159" spans="1:36" ht="51" customHeight="1" x14ac:dyDescent="0.25">
      <c r="A159" s="25">
        <v>2021</v>
      </c>
      <c r="B159" s="26">
        <v>12681</v>
      </c>
      <c r="C159" s="27" t="s">
        <v>241</v>
      </c>
      <c r="D159" s="27" t="s">
        <v>63</v>
      </c>
      <c r="E159" s="27" t="s">
        <v>49</v>
      </c>
      <c r="F159" s="28" t="s">
        <v>39</v>
      </c>
      <c r="G159" s="28" t="s">
        <v>39</v>
      </c>
      <c r="H159" s="28">
        <v>778</v>
      </c>
      <c r="I159" s="28" t="s">
        <v>39</v>
      </c>
      <c r="J159" s="28">
        <v>778</v>
      </c>
      <c r="K159" s="29" t="s">
        <v>39</v>
      </c>
      <c r="L159" s="29" t="s">
        <v>39</v>
      </c>
      <c r="M159" s="29" t="s">
        <v>39</v>
      </c>
      <c r="N159" s="29" t="s">
        <v>39</v>
      </c>
      <c r="O159" s="29" t="s">
        <v>39</v>
      </c>
      <c r="P159" s="30" t="s">
        <v>39</v>
      </c>
      <c r="Q159" s="30" t="s">
        <v>39</v>
      </c>
      <c r="R159" s="30">
        <v>3</v>
      </c>
      <c r="S159" s="30" t="s">
        <v>39</v>
      </c>
      <c r="T159" s="30">
        <v>3</v>
      </c>
      <c r="U159" s="31" t="s">
        <v>39</v>
      </c>
      <c r="V159" s="31" t="s">
        <v>39</v>
      </c>
      <c r="W159" s="31">
        <v>2</v>
      </c>
      <c r="X159" s="31" t="s">
        <v>39</v>
      </c>
      <c r="Y159" s="31">
        <v>2</v>
      </c>
      <c r="Z159" s="32" t="s">
        <v>39</v>
      </c>
      <c r="AA159" s="32" t="s">
        <v>39</v>
      </c>
      <c r="AB159" s="32">
        <v>282</v>
      </c>
      <c r="AC159" s="32" t="s">
        <v>39</v>
      </c>
      <c r="AD159" s="32">
        <v>282</v>
      </c>
      <c r="AE159" s="33" t="s">
        <v>39</v>
      </c>
      <c r="AF159" s="33" t="s">
        <v>39</v>
      </c>
      <c r="AG159" s="33">
        <v>151</v>
      </c>
      <c r="AH159" s="33" t="s">
        <v>39</v>
      </c>
      <c r="AI159" s="33">
        <v>151</v>
      </c>
      <c r="AJ159" s="34" t="s">
        <v>39</v>
      </c>
    </row>
    <row r="160" spans="1:36" ht="38.450000000000003" customHeight="1" x14ac:dyDescent="0.25">
      <c r="A160" s="25">
        <v>2021</v>
      </c>
      <c r="B160" s="26">
        <v>12685</v>
      </c>
      <c r="C160" s="27" t="s">
        <v>242</v>
      </c>
      <c r="D160" s="27" t="s">
        <v>243</v>
      </c>
      <c r="E160" s="27" t="s">
        <v>49</v>
      </c>
      <c r="F160" s="28">
        <v>1465</v>
      </c>
      <c r="G160" s="28" t="s">
        <v>39</v>
      </c>
      <c r="H160" s="28" t="s">
        <v>39</v>
      </c>
      <c r="I160" s="28" t="s">
        <v>39</v>
      </c>
      <c r="J160" s="28">
        <v>1465</v>
      </c>
      <c r="K160" s="29">
        <v>654.88599999999997</v>
      </c>
      <c r="L160" s="29" t="s">
        <v>39</v>
      </c>
      <c r="M160" s="29" t="s">
        <v>39</v>
      </c>
      <c r="N160" s="29" t="s">
        <v>39</v>
      </c>
      <c r="O160" s="29">
        <v>654.88599999999997</v>
      </c>
      <c r="P160" s="30" t="s">
        <v>39</v>
      </c>
      <c r="Q160" s="30" t="s">
        <v>39</v>
      </c>
      <c r="R160" s="30" t="s">
        <v>39</v>
      </c>
      <c r="S160" s="30" t="s">
        <v>39</v>
      </c>
      <c r="T160" s="30" t="s">
        <v>39</v>
      </c>
      <c r="U160" s="31" t="s">
        <v>39</v>
      </c>
      <c r="V160" s="31" t="s">
        <v>39</v>
      </c>
      <c r="W160" s="31" t="s">
        <v>39</v>
      </c>
      <c r="X160" s="31" t="s">
        <v>39</v>
      </c>
      <c r="Y160" s="31" t="s">
        <v>39</v>
      </c>
      <c r="Z160" s="32">
        <v>253</v>
      </c>
      <c r="AA160" s="32" t="s">
        <v>39</v>
      </c>
      <c r="AB160" s="32" t="s">
        <v>39</v>
      </c>
      <c r="AC160" s="32" t="s">
        <v>39</v>
      </c>
      <c r="AD160" s="32">
        <v>253</v>
      </c>
      <c r="AE160" s="33">
        <v>621</v>
      </c>
      <c r="AF160" s="33" t="s">
        <v>39</v>
      </c>
      <c r="AG160" s="33" t="s">
        <v>39</v>
      </c>
      <c r="AH160" s="33" t="s">
        <v>39</v>
      </c>
      <c r="AI160" s="33">
        <v>621</v>
      </c>
      <c r="AJ160" s="34" t="s">
        <v>39</v>
      </c>
    </row>
    <row r="161" spans="1:36" ht="38.450000000000003" customHeight="1" x14ac:dyDescent="0.25">
      <c r="A161" s="25">
        <v>2021</v>
      </c>
      <c r="B161" s="26">
        <v>12686</v>
      </c>
      <c r="C161" s="27" t="s">
        <v>244</v>
      </c>
      <c r="D161" s="27" t="s">
        <v>243</v>
      </c>
      <c r="E161" s="27" t="s">
        <v>38</v>
      </c>
      <c r="F161" s="28">
        <v>95</v>
      </c>
      <c r="G161" s="28">
        <v>6</v>
      </c>
      <c r="H161" s="28">
        <v>6</v>
      </c>
      <c r="I161" s="28">
        <v>0</v>
      </c>
      <c r="J161" s="28">
        <v>107</v>
      </c>
      <c r="K161" s="29">
        <v>41.552999999999997</v>
      </c>
      <c r="L161" s="29">
        <v>0</v>
      </c>
      <c r="M161" s="29">
        <v>0</v>
      </c>
      <c r="N161" s="29">
        <v>0</v>
      </c>
      <c r="O161" s="29">
        <v>41.552999999999997</v>
      </c>
      <c r="P161" s="30">
        <v>0</v>
      </c>
      <c r="Q161" s="30">
        <v>24.15</v>
      </c>
      <c r="R161" s="30">
        <v>74.513000000000005</v>
      </c>
      <c r="S161" s="30">
        <v>0</v>
      </c>
      <c r="T161" s="30">
        <v>98.662999999999997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2">
        <v>237.79</v>
      </c>
      <c r="AA161" s="32">
        <v>474.16</v>
      </c>
      <c r="AB161" s="32">
        <v>99.81</v>
      </c>
      <c r="AC161" s="32">
        <v>0</v>
      </c>
      <c r="AD161" s="32">
        <v>811.76</v>
      </c>
      <c r="AE161" s="33">
        <v>0</v>
      </c>
      <c r="AF161" s="33">
        <v>0</v>
      </c>
      <c r="AG161" s="33">
        <v>0</v>
      </c>
      <c r="AH161" s="33">
        <v>0</v>
      </c>
      <c r="AI161" s="33">
        <v>0</v>
      </c>
      <c r="AJ161" s="34" t="s">
        <v>39</v>
      </c>
    </row>
    <row r="162" spans="1:36" ht="38.450000000000003" customHeight="1" x14ac:dyDescent="0.25">
      <c r="A162" s="25">
        <v>2021</v>
      </c>
      <c r="B162" s="26">
        <v>12698</v>
      </c>
      <c r="C162" s="27" t="s">
        <v>245</v>
      </c>
      <c r="D162" s="27" t="s">
        <v>124</v>
      </c>
      <c r="E162" s="27" t="s">
        <v>77</v>
      </c>
      <c r="F162" s="28">
        <v>27599</v>
      </c>
      <c r="G162" s="28">
        <v>704</v>
      </c>
      <c r="H162" s="28" t="s">
        <v>39</v>
      </c>
      <c r="I162" s="28" t="s">
        <v>39</v>
      </c>
      <c r="J162" s="28">
        <v>28303</v>
      </c>
      <c r="K162" s="29">
        <v>944.61500000000001</v>
      </c>
      <c r="L162" s="29">
        <v>23.048999999999999</v>
      </c>
      <c r="M162" s="29" t="s">
        <v>39</v>
      </c>
      <c r="N162" s="29" t="s">
        <v>39</v>
      </c>
      <c r="O162" s="29">
        <v>967.66399999999999</v>
      </c>
      <c r="P162" s="30">
        <v>23.459</v>
      </c>
      <c r="Q162" s="30">
        <v>58.154000000000003</v>
      </c>
      <c r="R162" s="30" t="s">
        <v>39</v>
      </c>
      <c r="S162" s="30" t="s">
        <v>39</v>
      </c>
      <c r="T162" s="30">
        <v>81.613</v>
      </c>
      <c r="U162" s="31">
        <v>23.459</v>
      </c>
      <c r="V162" s="31">
        <v>58.154000000000003</v>
      </c>
      <c r="W162" s="31" t="s">
        <v>39</v>
      </c>
      <c r="X162" s="31" t="s">
        <v>39</v>
      </c>
      <c r="Y162" s="31">
        <v>81.613</v>
      </c>
      <c r="Z162" s="32">
        <v>300.75</v>
      </c>
      <c r="AA162" s="32">
        <v>1444.72</v>
      </c>
      <c r="AB162" s="32" t="s">
        <v>39</v>
      </c>
      <c r="AC162" s="32" t="s">
        <v>39</v>
      </c>
      <c r="AD162" s="32">
        <v>1745.47</v>
      </c>
      <c r="AE162" s="33">
        <v>2183.9699999999998</v>
      </c>
      <c r="AF162" s="33">
        <v>1476.29</v>
      </c>
      <c r="AG162" s="33" t="s">
        <v>39</v>
      </c>
      <c r="AH162" s="33" t="s">
        <v>39</v>
      </c>
      <c r="AI162" s="33">
        <v>3660.26</v>
      </c>
      <c r="AJ162" s="34">
        <v>0</v>
      </c>
    </row>
    <row r="163" spans="1:36" ht="38.450000000000003" customHeight="1" x14ac:dyDescent="0.25">
      <c r="A163" s="25">
        <v>2021</v>
      </c>
      <c r="B163" s="26">
        <v>12745</v>
      </c>
      <c r="C163" s="27" t="s">
        <v>246</v>
      </c>
      <c r="D163" s="27" t="s">
        <v>42</v>
      </c>
      <c r="E163" s="27" t="s">
        <v>247</v>
      </c>
      <c r="F163" s="28">
        <v>10676</v>
      </c>
      <c r="G163" s="28">
        <v>68</v>
      </c>
      <c r="H163" s="28">
        <v>2</v>
      </c>
      <c r="I163" s="28">
        <v>0</v>
      </c>
      <c r="J163" s="28">
        <v>10746</v>
      </c>
      <c r="K163" s="29">
        <v>0</v>
      </c>
      <c r="L163" s="29">
        <v>0</v>
      </c>
      <c r="M163" s="29">
        <v>0</v>
      </c>
      <c r="N163" s="29" t="s">
        <v>39</v>
      </c>
      <c r="O163" s="29">
        <v>0</v>
      </c>
      <c r="P163" s="30">
        <v>4.5</v>
      </c>
      <c r="Q163" s="30">
        <v>0.5</v>
      </c>
      <c r="R163" s="30">
        <v>8.6</v>
      </c>
      <c r="S163" s="30" t="s">
        <v>39</v>
      </c>
      <c r="T163" s="30">
        <v>13.6</v>
      </c>
      <c r="U163" s="31">
        <v>0</v>
      </c>
      <c r="V163" s="31">
        <v>0</v>
      </c>
      <c r="W163" s="31">
        <v>0</v>
      </c>
      <c r="X163" s="31" t="s">
        <v>39</v>
      </c>
      <c r="Y163" s="31">
        <v>0</v>
      </c>
      <c r="Z163" s="32">
        <v>225</v>
      </c>
      <c r="AA163" s="32">
        <v>15.3</v>
      </c>
      <c r="AB163" s="32">
        <v>45.3</v>
      </c>
      <c r="AC163" s="32" t="s">
        <v>39</v>
      </c>
      <c r="AD163" s="32">
        <v>285.60000000000002</v>
      </c>
      <c r="AE163" s="33">
        <v>13.8</v>
      </c>
      <c r="AF163" s="33">
        <v>25.5</v>
      </c>
      <c r="AG163" s="33">
        <v>25.5</v>
      </c>
      <c r="AH163" s="33" t="s">
        <v>39</v>
      </c>
      <c r="AI163" s="33">
        <v>64.8</v>
      </c>
      <c r="AJ163" s="34" t="s">
        <v>39</v>
      </c>
    </row>
    <row r="164" spans="1:36" ht="38.450000000000003" customHeight="1" x14ac:dyDescent="0.25">
      <c r="A164" s="25">
        <v>2021</v>
      </c>
      <c r="B164" s="26">
        <v>12894</v>
      </c>
      <c r="C164" s="27" t="s">
        <v>248</v>
      </c>
      <c r="D164" s="27" t="s">
        <v>48</v>
      </c>
      <c r="E164" s="27" t="s">
        <v>77</v>
      </c>
      <c r="F164" s="28">
        <v>2618</v>
      </c>
      <c r="G164" s="28">
        <v>46</v>
      </c>
      <c r="H164" s="28" t="s">
        <v>39</v>
      </c>
      <c r="I164" s="28" t="s">
        <v>39</v>
      </c>
      <c r="J164" s="28">
        <v>2664</v>
      </c>
      <c r="K164" s="29">
        <v>975.524</v>
      </c>
      <c r="L164" s="29">
        <v>684.65300000000002</v>
      </c>
      <c r="M164" s="29" t="s">
        <v>39</v>
      </c>
      <c r="N164" s="29" t="s">
        <v>39</v>
      </c>
      <c r="O164" s="29">
        <v>1660.1769999999999</v>
      </c>
      <c r="P164" s="30">
        <v>11.37</v>
      </c>
      <c r="Q164" s="30">
        <v>13.08</v>
      </c>
      <c r="R164" s="30" t="s">
        <v>39</v>
      </c>
      <c r="S164" s="30" t="s">
        <v>39</v>
      </c>
      <c r="T164" s="30">
        <v>24.45</v>
      </c>
      <c r="U164" s="31">
        <v>11.37</v>
      </c>
      <c r="V164" s="31">
        <v>13.08</v>
      </c>
      <c r="W164" s="31" t="s">
        <v>39</v>
      </c>
      <c r="X164" s="31" t="s">
        <v>39</v>
      </c>
      <c r="Y164" s="31">
        <v>24.45</v>
      </c>
      <c r="Z164" s="32">
        <v>69.534000000000006</v>
      </c>
      <c r="AA164" s="32">
        <v>188.35900000000001</v>
      </c>
      <c r="AB164" s="32" t="s">
        <v>39</v>
      </c>
      <c r="AC164" s="32" t="s">
        <v>39</v>
      </c>
      <c r="AD164" s="32">
        <v>257.89299999999997</v>
      </c>
      <c r="AE164" s="33" t="s">
        <v>39</v>
      </c>
      <c r="AF164" s="33" t="s">
        <v>39</v>
      </c>
      <c r="AG164" s="33" t="s">
        <v>39</v>
      </c>
      <c r="AH164" s="33" t="s">
        <v>39</v>
      </c>
      <c r="AI164" s="33" t="s">
        <v>39</v>
      </c>
      <c r="AJ164" s="34" t="s">
        <v>39</v>
      </c>
    </row>
    <row r="165" spans="1:36" ht="38.450000000000003" customHeight="1" x14ac:dyDescent="0.25">
      <c r="A165" s="25">
        <v>2021</v>
      </c>
      <c r="B165" s="26">
        <v>13208</v>
      </c>
      <c r="C165" s="27" t="s">
        <v>249</v>
      </c>
      <c r="D165" s="27" t="s">
        <v>105</v>
      </c>
      <c r="E165" s="27" t="s">
        <v>52</v>
      </c>
      <c r="F165" s="28" t="s">
        <v>39</v>
      </c>
      <c r="G165" s="28">
        <v>1</v>
      </c>
      <c r="H165" s="28" t="s">
        <v>39</v>
      </c>
      <c r="I165" s="28" t="s">
        <v>39</v>
      </c>
      <c r="J165" s="28">
        <v>1</v>
      </c>
      <c r="K165" s="29" t="s">
        <v>39</v>
      </c>
      <c r="L165" s="29">
        <v>2.7469999999999999</v>
      </c>
      <c r="M165" s="29" t="s">
        <v>39</v>
      </c>
      <c r="N165" s="29" t="s">
        <v>39</v>
      </c>
      <c r="O165" s="29">
        <v>2.7469999999999999</v>
      </c>
      <c r="P165" s="30" t="s">
        <v>39</v>
      </c>
      <c r="Q165" s="30">
        <v>0.25</v>
      </c>
      <c r="R165" s="30" t="s">
        <v>39</v>
      </c>
      <c r="S165" s="30" t="s">
        <v>39</v>
      </c>
      <c r="T165" s="30">
        <v>0.25</v>
      </c>
      <c r="U165" s="31" t="s">
        <v>39</v>
      </c>
      <c r="V165" s="31">
        <v>0.25</v>
      </c>
      <c r="W165" s="31" t="s">
        <v>39</v>
      </c>
      <c r="X165" s="31" t="s">
        <v>39</v>
      </c>
      <c r="Y165" s="31">
        <v>0.25</v>
      </c>
      <c r="Z165" s="32" t="s">
        <v>39</v>
      </c>
      <c r="AA165" s="32">
        <v>12.363</v>
      </c>
      <c r="AB165" s="32" t="s">
        <v>39</v>
      </c>
      <c r="AC165" s="32" t="s">
        <v>39</v>
      </c>
      <c r="AD165" s="32">
        <v>12.363</v>
      </c>
      <c r="AE165" s="33" t="s">
        <v>39</v>
      </c>
      <c r="AF165" s="33" t="s">
        <v>39</v>
      </c>
      <c r="AG165" s="33" t="s">
        <v>39</v>
      </c>
      <c r="AH165" s="33" t="s">
        <v>39</v>
      </c>
      <c r="AI165" s="33" t="s">
        <v>39</v>
      </c>
      <c r="AJ165" s="34" t="s">
        <v>39</v>
      </c>
    </row>
    <row r="166" spans="1:36" ht="51" customHeight="1" x14ac:dyDescent="0.25">
      <c r="A166" s="25">
        <v>2021</v>
      </c>
      <c r="B166" s="26">
        <v>13337</v>
      </c>
      <c r="C166" s="27" t="s">
        <v>250</v>
      </c>
      <c r="D166" s="27" t="s">
        <v>89</v>
      </c>
      <c r="E166" s="27" t="s">
        <v>77</v>
      </c>
      <c r="F166" s="28">
        <v>24</v>
      </c>
      <c r="G166" s="28">
        <v>384</v>
      </c>
      <c r="H166" s="28">
        <v>18</v>
      </c>
      <c r="I166" s="28">
        <v>0</v>
      </c>
      <c r="J166" s="28">
        <v>426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30">
        <v>0</v>
      </c>
      <c r="Q166" s="30">
        <v>9</v>
      </c>
      <c r="R166" s="30">
        <v>85</v>
      </c>
      <c r="S166" s="30">
        <v>0</v>
      </c>
      <c r="T166" s="30">
        <v>94</v>
      </c>
      <c r="U166" s="31">
        <v>0</v>
      </c>
      <c r="V166" s="31">
        <v>5</v>
      </c>
      <c r="W166" s="31">
        <v>0</v>
      </c>
      <c r="X166" s="31">
        <v>0</v>
      </c>
      <c r="Y166" s="31">
        <v>5</v>
      </c>
      <c r="Z166" s="32">
        <v>0</v>
      </c>
      <c r="AA166" s="32">
        <v>564</v>
      </c>
      <c r="AB166" s="32">
        <v>0</v>
      </c>
      <c r="AC166" s="32">
        <v>0</v>
      </c>
      <c r="AD166" s="32">
        <v>564</v>
      </c>
      <c r="AE166" s="33">
        <v>0</v>
      </c>
      <c r="AF166" s="33">
        <v>47</v>
      </c>
      <c r="AG166" s="33">
        <v>0</v>
      </c>
      <c r="AH166" s="33">
        <v>0</v>
      </c>
      <c r="AI166" s="33">
        <v>47</v>
      </c>
      <c r="AJ166" s="34" t="s">
        <v>39</v>
      </c>
    </row>
    <row r="167" spans="1:36" ht="38.450000000000003" customHeight="1" x14ac:dyDescent="0.25">
      <c r="A167" s="25">
        <v>2021</v>
      </c>
      <c r="B167" s="26">
        <v>13407</v>
      </c>
      <c r="C167" s="27" t="s">
        <v>251</v>
      </c>
      <c r="D167" s="27" t="s">
        <v>252</v>
      </c>
      <c r="E167" s="27" t="s">
        <v>253</v>
      </c>
      <c r="F167" s="28">
        <v>67611</v>
      </c>
      <c r="G167" s="28">
        <v>1907</v>
      </c>
      <c r="H167" s="28">
        <v>0</v>
      </c>
      <c r="I167" s="28">
        <v>0</v>
      </c>
      <c r="J167" s="28">
        <v>69518</v>
      </c>
      <c r="K167" s="29">
        <v>20514</v>
      </c>
      <c r="L167" s="29">
        <v>4684</v>
      </c>
      <c r="M167" s="29">
        <v>0</v>
      </c>
      <c r="N167" s="29">
        <v>0</v>
      </c>
      <c r="O167" s="29">
        <v>25198</v>
      </c>
      <c r="P167" s="30">
        <v>147.80000000000001</v>
      </c>
      <c r="Q167" s="30">
        <v>17.399999999999999</v>
      </c>
      <c r="R167" s="30">
        <v>0</v>
      </c>
      <c r="S167" s="30">
        <v>0</v>
      </c>
      <c r="T167" s="30">
        <v>165.2</v>
      </c>
      <c r="U167" s="31">
        <v>139.30000000000001</v>
      </c>
      <c r="V167" s="31">
        <v>15.2</v>
      </c>
      <c r="W167" s="31">
        <v>0</v>
      </c>
      <c r="X167" s="31">
        <v>0</v>
      </c>
      <c r="Y167" s="31">
        <v>154.5</v>
      </c>
      <c r="Z167" s="32">
        <v>1119</v>
      </c>
      <c r="AA167" s="32">
        <v>0</v>
      </c>
      <c r="AB167" s="32">
        <v>0</v>
      </c>
      <c r="AC167" s="32">
        <v>0</v>
      </c>
      <c r="AD167" s="32">
        <v>1119</v>
      </c>
      <c r="AE167" s="33">
        <v>7684.3</v>
      </c>
      <c r="AF167" s="33">
        <v>721.2</v>
      </c>
      <c r="AG167" s="33">
        <v>0</v>
      </c>
      <c r="AH167" s="33">
        <v>0</v>
      </c>
      <c r="AI167" s="33">
        <v>8405.5</v>
      </c>
      <c r="AJ167" s="34" t="s">
        <v>39</v>
      </c>
    </row>
    <row r="168" spans="1:36" ht="51" customHeight="1" x14ac:dyDescent="0.25">
      <c r="A168" s="25">
        <v>2021</v>
      </c>
      <c r="B168" s="26">
        <v>13441</v>
      </c>
      <c r="C168" s="27" t="s">
        <v>254</v>
      </c>
      <c r="D168" s="27" t="s">
        <v>255</v>
      </c>
      <c r="E168" s="27" t="s">
        <v>113</v>
      </c>
      <c r="F168" s="28">
        <v>4258</v>
      </c>
      <c r="G168" s="28" t="s">
        <v>39</v>
      </c>
      <c r="H168" s="28" t="s">
        <v>39</v>
      </c>
      <c r="I168" s="28" t="s">
        <v>39</v>
      </c>
      <c r="J168" s="28">
        <v>4258</v>
      </c>
      <c r="K168" s="29">
        <v>2.6</v>
      </c>
      <c r="L168" s="29" t="s">
        <v>39</v>
      </c>
      <c r="M168" s="29" t="s">
        <v>39</v>
      </c>
      <c r="N168" s="29" t="s">
        <v>39</v>
      </c>
      <c r="O168" s="29">
        <v>2.6</v>
      </c>
      <c r="P168" s="30">
        <v>2.6</v>
      </c>
      <c r="Q168" s="30" t="s">
        <v>39</v>
      </c>
      <c r="R168" s="30" t="s">
        <v>39</v>
      </c>
      <c r="S168" s="30" t="s">
        <v>39</v>
      </c>
      <c r="T168" s="30">
        <v>2.6</v>
      </c>
      <c r="U168" s="31">
        <v>2.6</v>
      </c>
      <c r="V168" s="31" t="s">
        <v>39</v>
      </c>
      <c r="W168" s="31" t="s">
        <v>39</v>
      </c>
      <c r="X168" s="31" t="s">
        <v>39</v>
      </c>
      <c r="Y168" s="31">
        <v>2.6</v>
      </c>
      <c r="Z168" s="32">
        <v>297.49099999999999</v>
      </c>
      <c r="AA168" s="32" t="s">
        <v>39</v>
      </c>
      <c r="AB168" s="32" t="s">
        <v>39</v>
      </c>
      <c r="AC168" s="32" t="s">
        <v>39</v>
      </c>
      <c r="AD168" s="32">
        <v>297.49099999999999</v>
      </c>
      <c r="AE168" s="33">
        <v>197.85499999999999</v>
      </c>
      <c r="AF168" s="33" t="s">
        <v>39</v>
      </c>
      <c r="AG168" s="33" t="s">
        <v>39</v>
      </c>
      <c r="AH168" s="33" t="s">
        <v>39</v>
      </c>
      <c r="AI168" s="33">
        <v>197.85499999999999</v>
      </c>
      <c r="AJ168" s="34" t="s">
        <v>39</v>
      </c>
    </row>
    <row r="169" spans="1:36" ht="51" customHeight="1" x14ac:dyDescent="0.25">
      <c r="A169" s="25">
        <v>2021</v>
      </c>
      <c r="B169" s="26">
        <v>13478</v>
      </c>
      <c r="C169" s="27" t="s">
        <v>256</v>
      </c>
      <c r="D169" s="27" t="s">
        <v>133</v>
      </c>
      <c r="E169" s="27" t="s">
        <v>49</v>
      </c>
      <c r="F169" s="28">
        <v>3448</v>
      </c>
      <c r="G169" s="28">
        <v>74</v>
      </c>
      <c r="H169" s="28" t="s">
        <v>39</v>
      </c>
      <c r="I169" s="28" t="s">
        <v>39</v>
      </c>
      <c r="J169" s="28">
        <v>3522</v>
      </c>
      <c r="K169" s="29" t="s">
        <v>39</v>
      </c>
      <c r="L169" s="29">
        <v>4.0279999999999996</v>
      </c>
      <c r="M169" s="29" t="s">
        <v>39</v>
      </c>
      <c r="N169" s="29" t="s">
        <v>39</v>
      </c>
      <c r="O169" s="29">
        <v>4.0279999999999996</v>
      </c>
      <c r="P169" s="30">
        <v>2.1190000000000002</v>
      </c>
      <c r="Q169" s="30">
        <v>1.089</v>
      </c>
      <c r="R169" s="30" t="s">
        <v>39</v>
      </c>
      <c r="S169" s="30" t="s">
        <v>39</v>
      </c>
      <c r="T169" s="30">
        <v>3.2080000000000002</v>
      </c>
      <c r="U169" s="31">
        <v>2.1190000000000002</v>
      </c>
      <c r="V169" s="31">
        <v>0.48199999999999998</v>
      </c>
      <c r="W169" s="31" t="s">
        <v>39</v>
      </c>
      <c r="X169" s="31" t="s">
        <v>39</v>
      </c>
      <c r="Y169" s="31">
        <v>2.601</v>
      </c>
      <c r="Z169" s="32">
        <v>182</v>
      </c>
      <c r="AA169" s="32">
        <v>29.32</v>
      </c>
      <c r="AB169" s="32" t="s">
        <v>39</v>
      </c>
      <c r="AC169" s="32" t="s">
        <v>39</v>
      </c>
      <c r="AD169" s="32">
        <v>211.32</v>
      </c>
      <c r="AE169" s="33">
        <v>403.61</v>
      </c>
      <c r="AF169" s="33">
        <v>565.66</v>
      </c>
      <c r="AG169" s="33" t="s">
        <v>39</v>
      </c>
      <c r="AH169" s="33" t="s">
        <v>39</v>
      </c>
      <c r="AI169" s="33">
        <v>969.27</v>
      </c>
      <c r="AJ169" s="34" t="s">
        <v>39</v>
      </c>
    </row>
    <row r="170" spans="1:36" ht="51" customHeight="1" x14ac:dyDescent="0.25">
      <c r="A170" s="25">
        <v>2021</v>
      </c>
      <c r="B170" s="26">
        <v>13485</v>
      </c>
      <c r="C170" s="27" t="s">
        <v>257</v>
      </c>
      <c r="D170" s="27" t="s">
        <v>98</v>
      </c>
      <c r="E170" s="27"/>
      <c r="F170" s="28">
        <v>2768</v>
      </c>
      <c r="G170" s="28" t="s">
        <v>39</v>
      </c>
      <c r="H170" s="28" t="s">
        <v>39</v>
      </c>
      <c r="I170" s="28" t="s">
        <v>39</v>
      </c>
      <c r="J170" s="28">
        <v>2768</v>
      </c>
      <c r="K170" s="29">
        <v>0</v>
      </c>
      <c r="L170" s="29" t="s">
        <v>39</v>
      </c>
      <c r="M170" s="29" t="s">
        <v>39</v>
      </c>
      <c r="N170" s="29" t="s">
        <v>39</v>
      </c>
      <c r="O170" s="29">
        <v>0</v>
      </c>
      <c r="P170" s="30">
        <v>6</v>
      </c>
      <c r="Q170" s="30" t="s">
        <v>39</v>
      </c>
      <c r="R170" s="30" t="s">
        <v>39</v>
      </c>
      <c r="S170" s="30" t="s">
        <v>39</v>
      </c>
      <c r="T170" s="30">
        <v>6</v>
      </c>
      <c r="U170" s="31">
        <v>0</v>
      </c>
      <c r="V170" s="31" t="s">
        <v>39</v>
      </c>
      <c r="W170" s="31" t="s">
        <v>39</v>
      </c>
      <c r="X170" s="31" t="s">
        <v>39</v>
      </c>
      <c r="Y170" s="31">
        <v>0</v>
      </c>
      <c r="Z170" s="32">
        <v>150</v>
      </c>
      <c r="AA170" s="32" t="s">
        <v>39</v>
      </c>
      <c r="AB170" s="32" t="s">
        <v>39</v>
      </c>
      <c r="AC170" s="32" t="s">
        <v>39</v>
      </c>
      <c r="AD170" s="32">
        <v>150</v>
      </c>
      <c r="AE170" s="33" t="s">
        <v>39</v>
      </c>
      <c r="AF170" s="33" t="s">
        <v>39</v>
      </c>
      <c r="AG170" s="33" t="s">
        <v>39</v>
      </c>
      <c r="AH170" s="33" t="s">
        <v>39</v>
      </c>
      <c r="AI170" s="33" t="s">
        <v>39</v>
      </c>
      <c r="AJ170" s="34" t="s">
        <v>39</v>
      </c>
    </row>
    <row r="171" spans="1:36" ht="63.6" customHeight="1" x14ac:dyDescent="0.25">
      <c r="A171" s="25">
        <v>2021</v>
      </c>
      <c r="B171" s="26">
        <v>13511</v>
      </c>
      <c r="C171" s="27" t="s">
        <v>258</v>
      </c>
      <c r="D171" s="27" t="s">
        <v>93</v>
      </c>
      <c r="E171" s="27" t="s">
        <v>94</v>
      </c>
      <c r="F171" s="28">
        <v>10583</v>
      </c>
      <c r="G171" s="28">
        <v>80</v>
      </c>
      <c r="H171" s="28">
        <v>33</v>
      </c>
      <c r="I171" s="28" t="s">
        <v>39</v>
      </c>
      <c r="J171" s="28">
        <v>10696</v>
      </c>
      <c r="K171" s="29">
        <v>225</v>
      </c>
      <c r="L171" s="29">
        <v>123</v>
      </c>
      <c r="M171" s="29">
        <v>811</v>
      </c>
      <c r="N171" s="29" t="s">
        <v>39</v>
      </c>
      <c r="O171" s="29">
        <v>1159</v>
      </c>
      <c r="P171" s="30">
        <v>9.4</v>
      </c>
      <c r="Q171" s="30">
        <v>8.4</v>
      </c>
      <c r="R171" s="30">
        <v>57.4</v>
      </c>
      <c r="S171" s="30" t="s">
        <v>39</v>
      </c>
      <c r="T171" s="30">
        <v>75.2</v>
      </c>
      <c r="U171" s="31">
        <v>9.1999999999999993</v>
      </c>
      <c r="V171" s="31">
        <v>7</v>
      </c>
      <c r="W171" s="31">
        <v>39.5</v>
      </c>
      <c r="X171" s="31" t="s">
        <v>39</v>
      </c>
      <c r="Y171" s="31">
        <v>55.7</v>
      </c>
      <c r="Z171" s="32">
        <v>259</v>
      </c>
      <c r="AA171" s="32">
        <v>220</v>
      </c>
      <c r="AB171" s="32">
        <v>2121</v>
      </c>
      <c r="AC171" s="32" t="s">
        <v>39</v>
      </c>
      <c r="AD171" s="32">
        <v>2600</v>
      </c>
      <c r="AE171" s="33">
        <v>490</v>
      </c>
      <c r="AF171" s="33">
        <v>11</v>
      </c>
      <c r="AG171" s="33">
        <v>51</v>
      </c>
      <c r="AH171" s="33" t="s">
        <v>39</v>
      </c>
      <c r="AI171" s="33">
        <v>552</v>
      </c>
      <c r="AJ171" s="34" t="s">
        <v>39</v>
      </c>
    </row>
    <row r="172" spans="1:36" ht="38.450000000000003" customHeight="1" x14ac:dyDescent="0.25">
      <c r="A172" s="25">
        <v>2021</v>
      </c>
      <c r="B172" s="26">
        <v>13519</v>
      </c>
      <c r="C172" s="27" t="s">
        <v>259</v>
      </c>
      <c r="D172" s="27" t="s">
        <v>128</v>
      </c>
      <c r="E172" s="27" t="s">
        <v>52</v>
      </c>
      <c r="F172" s="28">
        <v>0</v>
      </c>
      <c r="G172" s="28">
        <v>1</v>
      </c>
      <c r="H172" s="28">
        <v>1</v>
      </c>
      <c r="I172" s="28">
        <v>0</v>
      </c>
      <c r="J172" s="28">
        <v>2</v>
      </c>
      <c r="K172" s="29">
        <v>0</v>
      </c>
      <c r="L172" s="29">
        <v>0.42399999999999999</v>
      </c>
      <c r="M172" s="29">
        <v>0.18</v>
      </c>
      <c r="N172" s="29">
        <v>0</v>
      </c>
      <c r="O172" s="29">
        <v>0.60399999999999998</v>
      </c>
      <c r="P172" s="30">
        <v>0</v>
      </c>
      <c r="Q172" s="30">
        <v>0.42399999999999999</v>
      </c>
      <c r="R172" s="30">
        <v>0.22600000000000001</v>
      </c>
      <c r="S172" s="30">
        <v>0</v>
      </c>
      <c r="T172" s="30">
        <v>0.65</v>
      </c>
      <c r="U172" s="31">
        <v>0</v>
      </c>
      <c r="V172" s="31">
        <v>0.42399999999999999</v>
      </c>
      <c r="W172" s="31">
        <v>0.18</v>
      </c>
      <c r="X172" s="31">
        <v>0</v>
      </c>
      <c r="Y172" s="31">
        <v>0.60399999999999998</v>
      </c>
      <c r="Z172" s="32">
        <v>0</v>
      </c>
      <c r="AA172" s="32">
        <v>21.02</v>
      </c>
      <c r="AB172" s="32">
        <v>3.7</v>
      </c>
      <c r="AC172" s="32" t="s">
        <v>39</v>
      </c>
      <c r="AD172" s="32">
        <v>24.72</v>
      </c>
      <c r="AE172" s="33">
        <v>0</v>
      </c>
      <c r="AF172" s="33">
        <v>0</v>
      </c>
      <c r="AG172" s="33">
        <v>0</v>
      </c>
      <c r="AH172" s="33">
        <v>0</v>
      </c>
      <c r="AI172" s="33">
        <v>0</v>
      </c>
      <c r="AJ172" s="34" t="s">
        <v>39</v>
      </c>
    </row>
    <row r="173" spans="1:36" ht="38.450000000000003" customHeight="1" x14ac:dyDescent="0.25">
      <c r="A173" s="25">
        <v>2021</v>
      </c>
      <c r="B173" s="26">
        <v>13524</v>
      </c>
      <c r="C173" s="27" t="s">
        <v>260</v>
      </c>
      <c r="D173" s="27" t="s">
        <v>35</v>
      </c>
      <c r="E173" s="27" t="s">
        <v>35</v>
      </c>
      <c r="F173" s="28">
        <v>2</v>
      </c>
      <c r="G173" s="28" t="s">
        <v>39</v>
      </c>
      <c r="H173" s="28" t="s">
        <v>39</v>
      </c>
      <c r="I173" s="28" t="s">
        <v>39</v>
      </c>
      <c r="J173" s="28">
        <v>2</v>
      </c>
      <c r="K173" s="29" t="s">
        <v>39</v>
      </c>
      <c r="L173" s="29" t="s">
        <v>39</v>
      </c>
      <c r="M173" s="29" t="s">
        <v>39</v>
      </c>
      <c r="N173" s="29" t="s">
        <v>39</v>
      </c>
      <c r="O173" s="29" t="s">
        <v>39</v>
      </c>
      <c r="P173" s="30" t="s">
        <v>39</v>
      </c>
      <c r="Q173" s="30" t="s">
        <v>39</v>
      </c>
      <c r="R173" s="30" t="s">
        <v>39</v>
      </c>
      <c r="S173" s="30" t="s">
        <v>39</v>
      </c>
      <c r="T173" s="30" t="s">
        <v>39</v>
      </c>
      <c r="U173" s="31" t="s">
        <v>39</v>
      </c>
      <c r="V173" s="31" t="s">
        <v>39</v>
      </c>
      <c r="W173" s="31" t="s">
        <v>39</v>
      </c>
      <c r="X173" s="31" t="s">
        <v>39</v>
      </c>
      <c r="Y173" s="31" t="s">
        <v>39</v>
      </c>
      <c r="Z173" s="32" t="s">
        <v>39</v>
      </c>
      <c r="AA173" s="32" t="s">
        <v>39</v>
      </c>
      <c r="AB173" s="32" t="s">
        <v>39</v>
      </c>
      <c r="AC173" s="32" t="s">
        <v>39</v>
      </c>
      <c r="AD173" s="32" t="s">
        <v>39</v>
      </c>
      <c r="AE173" s="33" t="s">
        <v>39</v>
      </c>
      <c r="AF173" s="33" t="s">
        <v>39</v>
      </c>
      <c r="AG173" s="33" t="s">
        <v>39</v>
      </c>
      <c r="AH173" s="33" t="s">
        <v>39</v>
      </c>
      <c r="AI173" s="33" t="s">
        <v>39</v>
      </c>
      <c r="AJ173" s="34" t="s">
        <v>39</v>
      </c>
    </row>
    <row r="174" spans="1:36" ht="51" customHeight="1" x14ac:dyDescent="0.25">
      <c r="A174" s="25">
        <v>2021</v>
      </c>
      <c r="B174" s="26">
        <v>13573</v>
      </c>
      <c r="C174" s="27" t="s">
        <v>261</v>
      </c>
      <c r="D174" s="27" t="s">
        <v>93</v>
      </c>
      <c r="E174" s="27" t="s">
        <v>94</v>
      </c>
      <c r="F174" s="28">
        <v>13810</v>
      </c>
      <c r="G174" s="28">
        <v>200</v>
      </c>
      <c r="H174" s="28">
        <v>79</v>
      </c>
      <c r="I174" s="28" t="s">
        <v>39</v>
      </c>
      <c r="J174" s="28">
        <v>14089</v>
      </c>
      <c r="K174" s="29">
        <v>447.8</v>
      </c>
      <c r="L174" s="29">
        <v>2440.6509999999998</v>
      </c>
      <c r="M174" s="29">
        <v>12877.039000000001</v>
      </c>
      <c r="N174" s="29" t="s">
        <v>39</v>
      </c>
      <c r="O174" s="29">
        <v>15765.49</v>
      </c>
      <c r="P174" s="30">
        <v>14.914999999999999</v>
      </c>
      <c r="Q174" s="30">
        <v>43.136000000000003</v>
      </c>
      <c r="R174" s="30">
        <v>177.91300000000001</v>
      </c>
      <c r="S174" s="30" t="s">
        <v>39</v>
      </c>
      <c r="T174" s="30">
        <v>235.964</v>
      </c>
      <c r="U174" s="31">
        <v>11.85</v>
      </c>
      <c r="V174" s="31">
        <v>38.472000000000001</v>
      </c>
      <c r="W174" s="31">
        <v>160.67699999999999</v>
      </c>
      <c r="X174" s="31" t="s">
        <v>39</v>
      </c>
      <c r="Y174" s="31">
        <v>210.999</v>
      </c>
      <c r="Z174" s="32">
        <v>239.8</v>
      </c>
      <c r="AA174" s="32">
        <v>565.4</v>
      </c>
      <c r="AB174" s="32">
        <v>2983.1</v>
      </c>
      <c r="AC174" s="32" t="s">
        <v>39</v>
      </c>
      <c r="AD174" s="32">
        <v>3788.3</v>
      </c>
      <c r="AE174" s="33">
        <v>520.20000000000005</v>
      </c>
      <c r="AF174" s="33">
        <v>73.400000000000006</v>
      </c>
      <c r="AG174" s="33">
        <v>302.89999999999998</v>
      </c>
      <c r="AH174" s="33" t="s">
        <v>39</v>
      </c>
      <c r="AI174" s="33">
        <v>896.5</v>
      </c>
      <c r="AJ174" s="34" t="s">
        <v>39</v>
      </c>
    </row>
    <row r="175" spans="1:36" ht="63.6" customHeight="1" x14ac:dyDescent="0.25">
      <c r="A175" s="25">
        <v>2021</v>
      </c>
      <c r="B175" s="26">
        <v>13630</v>
      </c>
      <c r="C175" s="27" t="s">
        <v>262</v>
      </c>
      <c r="D175" s="27" t="s">
        <v>79</v>
      </c>
      <c r="E175" s="27" t="s">
        <v>80</v>
      </c>
      <c r="F175" s="28">
        <v>147000</v>
      </c>
      <c r="G175" s="28">
        <v>68</v>
      </c>
      <c r="H175" s="28">
        <v>19</v>
      </c>
      <c r="I175" s="28" t="s">
        <v>39</v>
      </c>
      <c r="J175" s="28">
        <v>147087</v>
      </c>
      <c r="K175" s="29">
        <v>82</v>
      </c>
      <c r="L175" s="29">
        <v>4035</v>
      </c>
      <c r="M175" s="29">
        <v>4126.3249999999998</v>
      </c>
      <c r="N175" s="29" t="s">
        <v>39</v>
      </c>
      <c r="O175" s="29">
        <v>8243.3250000000007</v>
      </c>
      <c r="P175" s="30">
        <v>1</v>
      </c>
      <c r="Q175" s="30">
        <v>72</v>
      </c>
      <c r="R175" s="30">
        <v>74</v>
      </c>
      <c r="S175" s="30" t="s">
        <v>39</v>
      </c>
      <c r="T175" s="30">
        <v>147</v>
      </c>
      <c r="U175" s="31">
        <v>1</v>
      </c>
      <c r="V175" s="31">
        <v>55</v>
      </c>
      <c r="W175" s="31">
        <v>61</v>
      </c>
      <c r="X175" s="31" t="s">
        <v>39</v>
      </c>
      <c r="Y175" s="31">
        <v>117</v>
      </c>
      <c r="Z175" s="32" t="s">
        <v>39</v>
      </c>
      <c r="AA175" s="32" t="s">
        <v>39</v>
      </c>
      <c r="AB175" s="32" t="s">
        <v>39</v>
      </c>
      <c r="AC175" s="32" t="s">
        <v>39</v>
      </c>
      <c r="AD175" s="32" t="s">
        <v>39</v>
      </c>
      <c r="AE175" s="33" t="s">
        <v>39</v>
      </c>
      <c r="AF175" s="33" t="s">
        <v>39</v>
      </c>
      <c r="AG175" s="33" t="s">
        <v>39</v>
      </c>
      <c r="AH175" s="33" t="s">
        <v>39</v>
      </c>
      <c r="AI175" s="33" t="s">
        <v>39</v>
      </c>
      <c r="AJ175" s="34" t="s">
        <v>39</v>
      </c>
    </row>
    <row r="176" spans="1:36" ht="51" customHeight="1" x14ac:dyDescent="0.25">
      <c r="A176" s="25">
        <v>2021</v>
      </c>
      <c r="B176" s="26">
        <v>13640</v>
      </c>
      <c r="C176" s="27" t="s">
        <v>263</v>
      </c>
      <c r="D176" s="27" t="s">
        <v>57</v>
      </c>
      <c r="E176" s="27" t="s">
        <v>52</v>
      </c>
      <c r="F176" s="28">
        <v>35095</v>
      </c>
      <c r="G176" s="28">
        <v>2</v>
      </c>
      <c r="H176" s="28">
        <v>5</v>
      </c>
      <c r="I176" s="28">
        <v>0</v>
      </c>
      <c r="J176" s="28">
        <v>35102</v>
      </c>
      <c r="K176" s="29">
        <v>0</v>
      </c>
      <c r="L176" s="29">
        <v>95.9</v>
      </c>
      <c r="M176" s="29">
        <v>16</v>
      </c>
      <c r="N176" s="29">
        <v>0</v>
      </c>
      <c r="O176" s="29">
        <v>111.9</v>
      </c>
      <c r="P176" s="30">
        <v>7.7</v>
      </c>
      <c r="Q176" s="30">
        <v>10.6</v>
      </c>
      <c r="R176" s="30">
        <v>9.1999999999999993</v>
      </c>
      <c r="S176" s="30">
        <v>0</v>
      </c>
      <c r="T176" s="30">
        <v>27.5</v>
      </c>
      <c r="U176" s="31">
        <v>7.7</v>
      </c>
      <c r="V176" s="31">
        <v>8.1</v>
      </c>
      <c r="W176" s="31">
        <v>6.7</v>
      </c>
      <c r="X176" s="31">
        <v>0</v>
      </c>
      <c r="Y176" s="31">
        <v>22.5</v>
      </c>
      <c r="Z176" s="32">
        <v>0</v>
      </c>
      <c r="AA176" s="32">
        <v>0</v>
      </c>
      <c r="AB176" s="32">
        <v>495.6</v>
      </c>
      <c r="AC176" s="32">
        <v>0</v>
      </c>
      <c r="AD176" s="32">
        <v>495.6</v>
      </c>
      <c r="AE176" s="33">
        <v>82.2</v>
      </c>
      <c r="AF176" s="33">
        <v>0</v>
      </c>
      <c r="AG176" s="33">
        <v>0</v>
      </c>
      <c r="AH176" s="33">
        <v>0</v>
      </c>
      <c r="AI176" s="33">
        <v>82.2</v>
      </c>
      <c r="AJ176" s="34" t="s">
        <v>39</v>
      </c>
    </row>
    <row r="177" spans="1:36" ht="51" customHeight="1" x14ac:dyDescent="0.25">
      <c r="A177" s="25">
        <v>2021</v>
      </c>
      <c r="B177" s="26">
        <v>13664</v>
      </c>
      <c r="C177" s="27" t="s">
        <v>264</v>
      </c>
      <c r="D177" s="27" t="s">
        <v>89</v>
      </c>
      <c r="E177" s="27" t="s">
        <v>77</v>
      </c>
      <c r="F177" s="28">
        <v>0</v>
      </c>
      <c r="G177" s="28">
        <v>2</v>
      </c>
      <c r="H177" s="28">
        <v>1585</v>
      </c>
      <c r="I177" s="28">
        <v>0</v>
      </c>
      <c r="J177" s="28">
        <v>1587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30">
        <v>0</v>
      </c>
      <c r="Q177" s="30">
        <v>0.5</v>
      </c>
      <c r="R177" s="30">
        <v>73</v>
      </c>
      <c r="S177" s="30">
        <v>0</v>
      </c>
      <c r="T177" s="30">
        <v>73.5</v>
      </c>
      <c r="U177" s="31">
        <v>0</v>
      </c>
      <c r="V177" s="31">
        <v>0.3</v>
      </c>
      <c r="W177" s="31">
        <v>42</v>
      </c>
      <c r="X177" s="31">
        <v>0</v>
      </c>
      <c r="Y177" s="31">
        <v>42.3</v>
      </c>
      <c r="Z177" s="32">
        <v>0</v>
      </c>
      <c r="AA177" s="32">
        <v>0</v>
      </c>
      <c r="AB177" s="32">
        <v>0</v>
      </c>
      <c r="AC177" s="32">
        <v>0</v>
      </c>
      <c r="AD177" s="32">
        <v>0</v>
      </c>
      <c r="AE177" s="33">
        <v>0</v>
      </c>
      <c r="AF177" s="33">
        <v>11</v>
      </c>
      <c r="AG177" s="33">
        <v>212</v>
      </c>
      <c r="AH177" s="33">
        <v>0</v>
      </c>
      <c r="AI177" s="33">
        <v>223</v>
      </c>
      <c r="AJ177" s="34" t="s">
        <v>39</v>
      </c>
    </row>
    <row r="178" spans="1:36" ht="51" customHeight="1" x14ac:dyDescent="0.25">
      <c r="A178" s="25">
        <v>2021</v>
      </c>
      <c r="B178" s="26">
        <v>13676</v>
      </c>
      <c r="C178" s="27" t="s">
        <v>265</v>
      </c>
      <c r="D178" s="27" t="s">
        <v>63</v>
      </c>
      <c r="E178" s="27" t="s">
        <v>49</v>
      </c>
      <c r="F178" s="28">
        <v>8457</v>
      </c>
      <c r="G178" s="28" t="s">
        <v>39</v>
      </c>
      <c r="H178" s="28" t="s">
        <v>39</v>
      </c>
      <c r="I178" s="28" t="s">
        <v>39</v>
      </c>
      <c r="J178" s="28">
        <v>8457</v>
      </c>
      <c r="K178" s="29">
        <v>0</v>
      </c>
      <c r="L178" s="29" t="s">
        <v>39</v>
      </c>
      <c r="M178" s="29" t="s">
        <v>39</v>
      </c>
      <c r="N178" s="29" t="s">
        <v>39</v>
      </c>
      <c r="O178" s="29">
        <v>0</v>
      </c>
      <c r="P178" s="30">
        <v>4.5</v>
      </c>
      <c r="Q178" s="30" t="s">
        <v>39</v>
      </c>
      <c r="R178" s="30" t="s">
        <v>39</v>
      </c>
      <c r="S178" s="30" t="s">
        <v>39</v>
      </c>
      <c r="T178" s="30">
        <v>4.5</v>
      </c>
      <c r="U178" s="31">
        <v>4.5</v>
      </c>
      <c r="V178" s="31" t="s">
        <v>39</v>
      </c>
      <c r="W178" s="31" t="s">
        <v>39</v>
      </c>
      <c r="X178" s="31" t="s">
        <v>39</v>
      </c>
      <c r="Y178" s="31">
        <v>4.5</v>
      </c>
      <c r="Z178" s="32">
        <v>195</v>
      </c>
      <c r="AA178" s="32" t="s">
        <v>39</v>
      </c>
      <c r="AB178" s="32" t="s">
        <v>39</v>
      </c>
      <c r="AC178" s="32" t="s">
        <v>39</v>
      </c>
      <c r="AD178" s="32">
        <v>195</v>
      </c>
      <c r="AE178" s="33" t="s">
        <v>39</v>
      </c>
      <c r="AF178" s="33" t="s">
        <v>39</v>
      </c>
      <c r="AG178" s="33" t="s">
        <v>39</v>
      </c>
      <c r="AH178" s="33" t="s">
        <v>39</v>
      </c>
      <c r="AI178" s="33" t="s">
        <v>39</v>
      </c>
      <c r="AJ178" s="34" t="s">
        <v>39</v>
      </c>
    </row>
    <row r="179" spans="1:36" ht="63.6" customHeight="1" x14ac:dyDescent="0.25">
      <c r="A179" s="25">
        <v>2021</v>
      </c>
      <c r="B179" s="26">
        <v>13683</v>
      </c>
      <c r="C179" s="27" t="s">
        <v>266</v>
      </c>
      <c r="D179" s="27" t="s">
        <v>79</v>
      </c>
      <c r="E179" s="27" t="s">
        <v>86</v>
      </c>
      <c r="F179" s="28">
        <v>8814</v>
      </c>
      <c r="G179" s="28" t="s">
        <v>39</v>
      </c>
      <c r="H179" s="28">
        <v>1</v>
      </c>
      <c r="I179" s="28" t="s">
        <v>39</v>
      </c>
      <c r="J179" s="28">
        <v>8815</v>
      </c>
      <c r="K179" s="29" t="s">
        <v>39</v>
      </c>
      <c r="L179" s="29" t="s">
        <v>39</v>
      </c>
      <c r="M179" s="29" t="s">
        <v>39</v>
      </c>
      <c r="N179" s="29" t="s">
        <v>39</v>
      </c>
      <c r="O179" s="29" t="s">
        <v>39</v>
      </c>
      <c r="P179" s="30">
        <v>21.3</v>
      </c>
      <c r="Q179" s="30" t="s">
        <v>39</v>
      </c>
      <c r="R179" s="30">
        <v>1</v>
      </c>
      <c r="S179" s="30" t="s">
        <v>39</v>
      </c>
      <c r="T179" s="30">
        <v>22.3</v>
      </c>
      <c r="U179" s="31" t="s">
        <v>39</v>
      </c>
      <c r="V179" s="31" t="s">
        <v>39</v>
      </c>
      <c r="W179" s="31" t="s">
        <v>39</v>
      </c>
      <c r="X179" s="31" t="s">
        <v>39</v>
      </c>
      <c r="Y179" s="31" t="s">
        <v>39</v>
      </c>
      <c r="Z179" s="32">
        <v>101.45</v>
      </c>
      <c r="AA179" s="32" t="s">
        <v>39</v>
      </c>
      <c r="AB179" s="32" t="s">
        <v>39</v>
      </c>
      <c r="AC179" s="32" t="s">
        <v>39</v>
      </c>
      <c r="AD179" s="32">
        <v>101.45</v>
      </c>
      <c r="AE179" s="33">
        <v>4496</v>
      </c>
      <c r="AF179" s="33" t="s">
        <v>39</v>
      </c>
      <c r="AG179" s="33" t="s">
        <v>39</v>
      </c>
      <c r="AH179" s="33" t="s">
        <v>39</v>
      </c>
      <c r="AI179" s="33">
        <v>4496</v>
      </c>
      <c r="AJ179" s="34">
        <v>880</v>
      </c>
    </row>
    <row r="180" spans="1:36" ht="51" customHeight="1" x14ac:dyDescent="0.25">
      <c r="A180" s="25">
        <v>2021</v>
      </c>
      <c r="B180" s="26">
        <v>13687</v>
      </c>
      <c r="C180" s="27" t="s">
        <v>267</v>
      </c>
      <c r="D180" s="27" t="s">
        <v>79</v>
      </c>
      <c r="E180" s="27" t="s">
        <v>86</v>
      </c>
      <c r="F180" s="28">
        <v>133084</v>
      </c>
      <c r="G180" s="28">
        <v>261</v>
      </c>
      <c r="H180" s="28">
        <v>168</v>
      </c>
      <c r="I180" s="28" t="s">
        <v>39</v>
      </c>
      <c r="J180" s="28">
        <v>133513</v>
      </c>
      <c r="K180" s="29" t="s">
        <v>39</v>
      </c>
      <c r="L180" s="29" t="s">
        <v>39</v>
      </c>
      <c r="M180" s="29" t="s">
        <v>39</v>
      </c>
      <c r="N180" s="29" t="s">
        <v>39</v>
      </c>
      <c r="O180" s="29" t="s">
        <v>39</v>
      </c>
      <c r="P180" s="30">
        <v>55</v>
      </c>
      <c r="Q180" s="30">
        <v>80</v>
      </c>
      <c r="R180" s="30">
        <v>232</v>
      </c>
      <c r="S180" s="30" t="s">
        <v>39</v>
      </c>
      <c r="T180" s="30">
        <v>367</v>
      </c>
      <c r="U180" s="31">
        <v>48</v>
      </c>
      <c r="V180" s="31">
        <v>60.8</v>
      </c>
      <c r="W180" s="31">
        <v>174</v>
      </c>
      <c r="X180" s="31" t="s">
        <v>39</v>
      </c>
      <c r="Y180" s="31">
        <v>282.8</v>
      </c>
      <c r="Z180" s="32">
        <v>3112</v>
      </c>
      <c r="AA180" s="32">
        <v>769</v>
      </c>
      <c r="AB180" s="32">
        <v>355</v>
      </c>
      <c r="AC180" s="32" t="s">
        <v>39</v>
      </c>
      <c r="AD180" s="32">
        <v>4236</v>
      </c>
      <c r="AE180" s="33">
        <v>1134</v>
      </c>
      <c r="AF180" s="33">
        <v>86</v>
      </c>
      <c r="AG180" s="33">
        <v>118</v>
      </c>
      <c r="AH180" s="33" t="s">
        <v>39</v>
      </c>
      <c r="AI180" s="33">
        <v>1338</v>
      </c>
      <c r="AJ180" s="34" t="s">
        <v>39</v>
      </c>
    </row>
    <row r="181" spans="1:36" ht="51" customHeight="1" x14ac:dyDescent="0.25">
      <c r="A181" s="25">
        <v>2021</v>
      </c>
      <c r="B181" s="26">
        <v>13762</v>
      </c>
      <c r="C181" s="27" t="s">
        <v>268</v>
      </c>
      <c r="D181" s="27" t="s">
        <v>57</v>
      </c>
      <c r="E181" s="27" t="s">
        <v>52</v>
      </c>
      <c r="F181" s="28">
        <v>4558</v>
      </c>
      <c r="G181" s="28" t="s">
        <v>39</v>
      </c>
      <c r="H181" s="28" t="s">
        <v>39</v>
      </c>
      <c r="I181" s="28" t="s">
        <v>39</v>
      </c>
      <c r="J181" s="28">
        <v>4558</v>
      </c>
      <c r="K181" s="29">
        <v>102</v>
      </c>
      <c r="L181" s="29" t="s">
        <v>39</v>
      </c>
      <c r="M181" s="29" t="s">
        <v>39</v>
      </c>
      <c r="N181" s="29" t="s">
        <v>39</v>
      </c>
      <c r="O181" s="29">
        <v>102</v>
      </c>
      <c r="P181" s="30">
        <v>2.83</v>
      </c>
      <c r="Q181" s="30" t="s">
        <v>39</v>
      </c>
      <c r="R181" s="30" t="s">
        <v>39</v>
      </c>
      <c r="S181" s="30" t="s">
        <v>39</v>
      </c>
      <c r="T181" s="30">
        <v>2.83</v>
      </c>
      <c r="U181" s="31">
        <v>2.83</v>
      </c>
      <c r="V181" s="31" t="s">
        <v>39</v>
      </c>
      <c r="W181" s="31" t="s">
        <v>39</v>
      </c>
      <c r="X181" s="31" t="s">
        <v>39</v>
      </c>
      <c r="Y181" s="31">
        <v>2.83</v>
      </c>
      <c r="Z181" s="32">
        <v>10.436</v>
      </c>
      <c r="AA181" s="32" t="s">
        <v>39</v>
      </c>
      <c r="AB181" s="32" t="s">
        <v>39</v>
      </c>
      <c r="AC181" s="32" t="s">
        <v>39</v>
      </c>
      <c r="AD181" s="32">
        <v>10.436</v>
      </c>
      <c r="AE181" s="33" t="s">
        <v>39</v>
      </c>
      <c r="AF181" s="33" t="s">
        <v>39</v>
      </c>
      <c r="AG181" s="33" t="s">
        <v>39</v>
      </c>
      <c r="AH181" s="33" t="s">
        <v>39</v>
      </c>
      <c r="AI181" s="33" t="s">
        <v>39</v>
      </c>
      <c r="AJ181" s="34" t="s">
        <v>39</v>
      </c>
    </row>
    <row r="182" spans="1:36" ht="51" customHeight="1" x14ac:dyDescent="0.25">
      <c r="A182" s="25">
        <v>2021</v>
      </c>
      <c r="B182" s="26">
        <v>13780</v>
      </c>
      <c r="C182" s="27" t="s">
        <v>269</v>
      </c>
      <c r="D182" s="27" t="s">
        <v>116</v>
      </c>
      <c r="E182" s="27" t="s">
        <v>49</v>
      </c>
      <c r="F182" s="28" t="s">
        <v>39</v>
      </c>
      <c r="G182" s="28">
        <v>5</v>
      </c>
      <c r="H182" s="28" t="s">
        <v>39</v>
      </c>
      <c r="I182" s="28" t="s">
        <v>39</v>
      </c>
      <c r="J182" s="28">
        <v>5</v>
      </c>
      <c r="K182" s="29" t="s">
        <v>39</v>
      </c>
      <c r="L182" s="29">
        <v>0.876</v>
      </c>
      <c r="M182" s="29" t="s">
        <v>39</v>
      </c>
      <c r="N182" s="29" t="s">
        <v>39</v>
      </c>
      <c r="O182" s="29">
        <v>0.876</v>
      </c>
      <c r="P182" s="30" t="s">
        <v>39</v>
      </c>
      <c r="Q182" s="30">
        <v>1</v>
      </c>
      <c r="R182" s="30" t="s">
        <v>39</v>
      </c>
      <c r="S182" s="30" t="s">
        <v>39</v>
      </c>
      <c r="T182" s="30">
        <v>1</v>
      </c>
      <c r="U182" s="31" t="s">
        <v>39</v>
      </c>
      <c r="V182" s="31">
        <v>0</v>
      </c>
      <c r="W182" s="31" t="s">
        <v>39</v>
      </c>
      <c r="X182" s="31" t="s">
        <v>39</v>
      </c>
      <c r="Y182" s="31">
        <v>0</v>
      </c>
      <c r="Z182" s="32" t="s">
        <v>39</v>
      </c>
      <c r="AA182" s="32">
        <v>76</v>
      </c>
      <c r="AB182" s="32" t="s">
        <v>39</v>
      </c>
      <c r="AC182" s="32" t="s">
        <v>39</v>
      </c>
      <c r="AD182" s="32">
        <v>76</v>
      </c>
      <c r="AE182" s="33" t="s">
        <v>39</v>
      </c>
      <c r="AF182" s="33">
        <v>0</v>
      </c>
      <c r="AG182" s="33" t="s">
        <v>39</v>
      </c>
      <c r="AH182" s="33" t="s">
        <v>39</v>
      </c>
      <c r="AI182" s="33">
        <v>0</v>
      </c>
      <c r="AJ182" s="34" t="s">
        <v>39</v>
      </c>
    </row>
    <row r="183" spans="1:36" ht="51" customHeight="1" x14ac:dyDescent="0.25">
      <c r="A183" s="25">
        <v>2021</v>
      </c>
      <c r="B183" s="26">
        <v>13780</v>
      </c>
      <c r="C183" s="27" t="s">
        <v>269</v>
      </c>
      <c r="D183" s="27" t="s">
        <v>72</v>
      </c>
      <c r="E183" s="27" t="s">
        <v>49</v>
      </c>
      <c r="F183" s="28">
        <v>19373</v>
      </c>
      <c r="G183" s="28">
        <v>1064</v>
      </c>
      <c r="H183" s="28">
        <v>271</v>
      </c>
      <c r="I183" s="28" t="s">
        <v>39</v>
      </c>
      <c r="J183" s="28">
        <v>20708</v>
      </c>
      <c r="K183" s="29">
        <v>17.547999999999998</v>
      </c>
      <c r="L183" s="29">
        <v>111.3</v>
      </c>
      <c r="M183" s="29">
        <v>0</v>
      </c>
      <c r="N183" s="29" t="s">
        <v>39</v>
      </c>
      <c r="O183" s="29">
        <v>128.84800000000001</v>
      </c>
      <c r="P183" s="30">
        <v>10.711</v>
      </c>
      <c r="Q183" s="30">
        <v>5.7489999999999997</v>
      </c>
      <c r="R183" s="30">
        <v>57.856000000000002</v>
      </c>
      <c r="S183" s="30" t="s">
        <v>39</v>
      </c>
      <c r="T183" s="30">
        <v>74.316000000000003</v>
      </c>
      <c r="U183" s="31">
        <v>0</v>
      </c>
      <c r="V183" s="31">
        <v>0</v>
      </c>
      <c r="W183" s="31">
        <v>51.491999999999997</v>
      </c>
      <c r="X183" s="31" t="s">
        <v>39</v>
      </c>
      <c r="Y183" s="31">
        <v>51.491999999999997</v>
      </c>
      <c r="Z183" s="32">
        <v>466.02600000000001</v>
      </c>
      <c r="AA183" s="32">
        <v>510.18700000000001</v>
      </c>
      <c r="AB183" s="32">
        <v>0</v>
      </c>
      <c r="AC183" s="32" t="s">
        <v>39</v>
      </c>
      <c r="AD183" s="32">
        <v>976.21299999999997</v>
      </c>
      <c r="AE183" s="33">
        <v>414.05099999999999</v>
      </c>
      <c r="AF183" s="33">
        <v>16.541</v>
      </c>
      <c r="AG183" s="33">
        <v>11.042999999999999</v>
      </c>
      <c r="AH183" s="33" t="s">
        <v>39</v>
      </c>
      <c r="AI183" s="33">
        <v>441.63499999999999</v>
      </c>
      <c r="AJ183" s="34" t="s">
        <v>39</v>
      </c>
    </row>
    <row r="184" spans="1:36" ht="75.95" customHeight="1" x14ac:dyDescent="0.25">
      <c r="A184" s="25">
        <v>2021</v>
      </c>
      <c r="B184" s="26">
        <v>13781</v>
      </c>
      <c r="C184" s="27" t="s">
        <v>270</v>
      </c>
      <c r="D184" s="27" t="s">
        <v>48</v>
      </c>
      <c r="E184" s="27" t="s">
        <v>49</v>
      </c>
      <c r="F184" s="28">
        <v>405836</v>
      </c>
      <c r="G184" s="28">
        <v>18720</v>
      </c>
      <c r="H184" s="28">
        <v>102</v>
      </c>
      <c r="I184" s="28" t="s">
        <v>39</v>
      </c>
      <c r="J184" s="28">
        <v>424658</v>
      </c>
      <c r="K184" s="29">
        <v>386.16800000000001</v>
      </c>
      <c r="L184" s="29">
        <v>106.374</v>
      </c>
      <c r="M184" s="29">
        <v>0</v>
      </c>
      <c r="N184" s="29" t="s">
        <v>39</v>
      </c>
      <c r="O184" s="29">
        <v>492.54199999999997</v>
      </c>
      <c r="P184" s="30">
        <v>299.66000000000003</v>
      </c>
      <c r="Q184" s="30">
        <v>361.53100000000001</v>
      </c>
      <c r="R184" s="30">
        <v>14.92</v>
      </c>
      <c r="S184" s="30" t="s">
        <v>39</v>
      </c>
      <c r="T184" s="30">
        <v>676.11099999999999</v>
      </c>
      <c r="U184" s="31">
        <v>0</v>
      </c>
      <c r="V184" s="31">
        <v>255.65299999999999</v>
      </c>
      <c r="W184" s="31">
        <v>13.279</v>
      </c>
      <c r="X184" s="31" t="s">
        <v>39</v>
      </c>
      <c r="Y184" s="31">
        <v>268.93200000000002</v>
      </c>
      <c r="Z184" s="32">
        <v>30623.260999999999</v>
      </c>
      <c r="AA184" s="32">
        <v>5245.3980000000001</v>
      </c>
      <c r="AB184" s="32">
        <v>0</v>
      </c>
      <c r="AC184" s="32" t="s">
        <v>39</v>
      </c>
      <c r="AD184" s="32">
        <v>35868.659</v>
      </c>
      <c r="AE184" s="33">
        <v>6553.0929999999998</v>
      </c>
      <c r="AF184" s="33">
        <v>2086.355</v>
      </c>
      <c r="AG184" s="33">
        <v>1.651</v>
      </c>
      <c r="AH184" s="33" t="s">
        <v>39</v>
      </c>
      <c r="AI184" s="33">
        <v>8641.0990000000002</v>
      </c>
      <c r="AJ184" s="34" t="s">
        <v>39</v>
      </c>
    </row>
    <row r="185" spans="1:36" ht="75.95" customHeight="1" x14ac:dyDescent="0.25">
      <c r="A185" s="25">
        <v>2021</v>
      </c>
      <c r="B185" s="26">
        <v>13781</v>
      </c>
      <c r="C185" s="27" t="s">
        <v>270</v>
      </c>
      <c r="D185" s="27" t="s">
        <v>84</v>
      </c>
      <c r="E185" s="27" t="s">
        <v>49</v>
      </c>
      <c r="F185" s="28">
        <v>12856</v>
      </c>
      <c r="G185" s="28">
        <v>616</v>
      </c>
      <c r="H185" s="28">
        <v>125</v>
      </c>
      <c r="I185" s="28" t="s">
        <v>39</v>
      </c>
      <c r="J185" s="28">
        <v>13597</v>
      </c>
      <c r="K185" s="29">
        <v>10.782999999999999</v>
      </c>
      <c r="L185" s="29">
        <v>3.4119999999999999</v>
      </c>
      <c r="M185" s="29">
        <v>0</v>
      </c>
      <c r="N185" s="29" t="s">
        <v>39</v>
      </c>
      <c r="O185" s="29">
        <v>14.195</v>
      </c>
      <c r="P185" s="30">
        <v>8.2629999999999999</v>
      </c>
      <c r="Q185" s="30">
        <v>1.821</v>
      </c>
      <c r="R185" s="30">
        <v>45.658999999999999</v>
      </c>
      <c r="S185" s="30" t="s">
        <v>39</v>
      </c>
      <c r="T185" s="30">
        <v>55.743000000000002</v>
      </c>
      <c r="U185" s="31">
        <v>0</v>
      </c>
      <c r="V185" s="31">
        <v>0</v>
      </c>
      <c r="W185" s="31">
        <v>40.637</v>
      </c>
      <c r="X185" s="31" t="s">
        <v>39</v>
      </c>
      <c r="Y185" s="31">
        <v>40.637</v>
      </c>
      <c r="Z185" s="32">
        <v>803.61500000000001</v>
      </c>
      <c r="AA185" s="32">
        <v>149.73500000000001</v>
      </c>
      <c r="AB185" s="32">
        <v>0</v>
      </c>
      <c r="AC185" s="32" t="s">
        <v>39</v>
      </c>
      <c r="AD185" s="32">
        <v>953.35</v>
      </c>
      <c r="AE185" s="33">
        <v>82.846000000000004</v>
      </c>
      <c r="AF185" s="33">
        <v>8.5</v>
      </c>
      <c r="AG185" s="33">
        <v>1.7370000000000001</v>
      </c>
      <c r="AH185" s="33" t="s">
        <v>39</v>
      </c>
      <c r="AI185" s="33">
        <v>93.082999999999998</v>
      </c>
      <c r="AJ185" s="34" t="s">
        <v>39</v>
      </c>
    </row>
    <row r="186" spans="1:36" ht="75.95" customHeight="1" x14ac:dyDescent="0.25">
      <c r="A186" s="25">
        <v>2021</v>
      </c>
      <c r="B186" s="26">
        <v>13781</v>
      </c>
      <c r="C186" s="27" t="s">
        <v>270</v>
      </c>
      <c r="D186" s="27" t="s">
        <v>76</v>
      </c>
      <c r="E186" s="27" t="s">
        <v>49</v>
      </c>
      <c r="F186" s="28">
        <v>21142</v>
      </c>
      <c r="G186" s="28">
        <v>611</v>
      </c>
      <c r="H186" s="28">
        <v>102</v>
      </c>
      <c r="I186" s="28" t="s">
        <v>39</v>
      </c>
      <c r="J186" s="28">
        <v>21855</v>
      </c>
      <c r="K186" s="29">
        <v>19.053999999999998</v>
      </c>
      <c r="L186" s="29">
        <v>3.3839999999999999</v>
      </c>
      <c r="M186" s="29">
        <v>0</v>
      </c>
      <c r="N186" s="29" t="s">
        <v>39</v>
      </c>
      <c r="O186" s="29">
        <v>22.437999999999999</v>
      </c>
      <c r="P186" s="30">
        <v>13.972</v>
      </c>
      <c r="Q186" s="30">
        <v>2.5859999999999999</v>
      </c>
      <c r="R186" s="30">
        <v>14.92</v>
      </c>
      <c r="S186" s="30" t="s">
        <v>39</v>
      </c>
      <c r="T186" s="30">
        <v>31.478000000000002</v>
      </c>
      <c r="U186" s="31">
        <v>0</v>
      </c>
      <c r="V186" s="31">
        <v>0</v>
      </c>
      <c r="W186" s="31">
        <v>13.279</v>
      </c>
      <c r="X186" s="31" t="s">
        <v>39</v>
      </c>
      <c r="Y186" s="31">
        <v>13.279</v>
      </c>
      <c r="Z186" s="32">
        <v>1621.0060000000001</v>
      </c>
      <c r="AA186" s="32">
        <v>202.99</v>
      </c>
      <c r="AB186" s="32">
        <v>0</v>
      </c>
      <c r="AC186" s="32" t="s">
        <v>39</v>
      </c>
      <c r="AD186" s="32">
        <v>1823.9960000000001</v>
      </c>
      <c r="AE186" s="33">
        <v>150.959</v>
      </c>
      <c r="AF186" s="33">
        <v>33.055</v>
      </c>
      <c r="AG186" s="33">
        <v>1.651</v>
      </c>
      <c r="AH186" s="33" t="s">
        <v>39</v>
      </c>
      <c r="AI186" s="33">
        <v>185.66499999999999</v>
      </c>
      <c r="AJ186" s="34" t="s">
        <v>39</v>
      </c>
    </row>
    <row r="187" spans="1:36" ht="51" customHeight="1" x14ac:dyDescent="0.25">
      <c r="A187" s="25">
        <v>2021</v>
      </c>
      <c r="B187" s="26">
        <v>13798</v>
      </c>
      <c r="C187" s="27" t="s">
        <v>271</v>
      </c>
      <c r="D187" s="27" t="s">
        <v>119</v>
      </c>
      <c r="E187" s="27" t="s">
        <v>77</v>
      </c>
      <c r="F187" s="28">
        <v>16295</v>
      </c>
      <c r="G187" s="28">
        <v>1450</v>
      </c>
      <c r="H187" s="28" t="s">
        <v>39</v>
      </c>
      <c r="I187" s="28" t="s">
        <v>39</v>
      </c>
      <c r="J187" s="28">
        <v>17745</v>
      </c>
      <c r="K187" s="29">
        <v>2924</v>
      </c>
      <c r="L187" s="29">
        <v>789</v>
      </c>
      <c r="M187" s="29" t="s">
        <v>39</v>
      </c>
      <c r="N187" s="29" t="s">
        <v>39</v>
      </c>
      <c r="O187" s="29">
        <v>3713</v>
      </c>
      <c r="P187" s="30">
        <v>47.51</v>
      </c>
      <c r="Q187" s="30">
        <v>7.45</v>
      </c>
      <c r="R187" s="30" t="s">
        <v>39</v>
      </c>
      <c r="S187" s="30" t="s">
        <v>39</v>
      </c>
      <c r="T187" s="30">
        <v>54.96</v>
      </c>
      <c r="U187" s="31">
        <v>10.5</v>
      </c>
      <c r="V187" s="31">
        <v>6.5</v>
      </c>
      <c r="W187" s="31" t="s">
        <v>39</v>
      </c>
      <c r="X187" s="31" t="s">
        <v>39</v>
      </c>
      <c r="Y187" s="31">
        <v>17</v>
      </c>
      <c r="Z187" s="32">
        <v>3701</v>
      </c>
      <c r="AA187" s="32">
        <v>329</v>
      </c>
      <c r="AB187" s="32" t="s">
        <v>39</v>
      </c>
      <c r="AC187" s="32" t="s">
        <v>39</v>
      </c>
      <c r="AD187" s="32">
        <v>4030</v>
      </c>
      <c r="AE187" s="33">
        <v>3177</v>
      </c>
      <c r="AF187" s="33">
        <v>283</v>
      </c>
      <c r="AG187" s="33" t="s">
        <v>39</v>
      </c>
      <c r="AH187" s="33" t="s">
        <v>39</v>
      </c>
      <c r="AI187" s="33">
        <v>3460</v>
      </c>
      <c r="AJ187" s="34" t="s">
        <v>39</v>
      </c>
    </row>
    <row r="188" spans="1:36" ht="51" customHeight="1" x14ac:dyDescent="0.25">
      <c r="A188" s="25">
        <v>2021</v>
      </c>
      <c r="B188" s="26">
        <v>13815</v>
      </c>
      <c r="C188" s="27" t="s">
        <v>272</v>
      </c>
      <c r="D188" s="27" t="s">
        <v>72</v>
      </c>
      <c r="E188" s="27" t="s">
        <v>49</v>
      </c>
      <c r="F188" s="28" t="s">
        <v>39</v>
      </c>
      <c r="G188" s="28" t="s">
        <v>39</v>
      </c>
      <c r="H188" s="28">
        <v>1</v>
      </c>
      <c r="I188" s="28" t="s">
        <v>39</v>
      </c>
      <c r="J188" s="28">
        <v>1</v>
      </c>
      <c r="K188" s="29" t="s">
        <v>39</v>
      </c>
      <c r="L188" s="29" t="s">
        <v>39</v>
      </c>
      <c r="M188" s="29" t="s">
        <v>39</v>
      </c>
      <c r="N188" s="29" t="s">
        <v>39</v>
      </c>
      <c r="O188" s="29" t="s">
        <v>39</v>
      </c>
      <c r="P188" s="30" t="s">
        <v>39</v>
      </c>
      <c r="Q188" s="30" t="s">
        <v>39</v>
      </c>
      <c r="R188" s="30">
        <v>1</v>
      </c>
      <c r="S188" s="30" t="s">
        <v>39</v>
      </c>
      <c r="T188" s="30">
        <v>1</v>
      </c>
      <c r="U188" s="31" t="s">
        <v>39</v>
      </c>
      <c r="V188" s="31" t="s">
        <v>39</v>
      </c>
      <c r="W188" s="31">
        <v>1</v>
      </c>
      <c r="X188" s="31" t="s">
        <v>39</v>
      </c>
      <c r="Y188" s="31">
        <v>1</v>
      </c>
      <c r="Z188" s="32" t="s">
        <v>39</v>
      </c>
      <c r="AA188" s="32" t="s">
        <v>39</v>
      </c>
      <c r="AB188" s="32">
        <v>30</v>
      </c>
      <c r="AC188" s="32" t="s">
        <v>39</v>
      </c>
      <c r="AD188" s="32">
        <v>30</v>
      </c>
      <c r="AE188" s="33" t="s">
        <v>39</v>
      </c>
      <c r="AF188" s="33" t="s">
        <v>39</v>
      </c>
      <c r="AG188" s="33" t="s">
        <v>39</v>
      </c>
      <c r="AH188" s="33" t="s">
        <v>39</v>
      </c>
      <c r="AI188" s="33" t="s">
        <v>39</v>
      </c>
      <c r="AJ188" s="34" t="s">
        <v>39</v>
      </c>
    </row>
    <row r="189" spans="1:36" ht="38.450000000000003" customHeight="1" x14ac:dyDescent="0.25">
      <c r="A189" s="25">
        <v>2021</v>
      </c>
      <c r="B189" s="26">
        <v>13839</v>
      </c>
      <c r="C189" s="27" t="s">
        <v>273</v>
      </c>
      <c r="D189" s="27" t="s">
        <v>139</v>
      </c>
      <c r="E189" s="27" t="s">
        <v>113</v>
      </c>
      <c r="F189" s="28">
        <v>557</v>
      </c>
      <c r="G189" s="28" t="s">
        <v>39</v>
      </c>
      <c r="H189" s="28" t="s">
        <v>39</v>
      </c>
      <c r="I189" s="28" t="s">
        <v>39</v>
      </c>
      <c r="J189" s="28">
        <v>557</v>
      </c>
      <c r="K189" s="29">
        <v>0</v>
      </c>
      <c r="L189" s="29" t="s">
        <v>39</v>
      </c>
      <c r="M189" s="29" t="s">
        <v>39</v>
      </c>
      <c r="N189" s="29" t="s">
        <v>39</v>
      </c>
      <c r="O189" s="29">
        <v>0</v>
      </c>
      <c r="P189" s="30">
        <v>2.5</v>
      </c>
      <c r="Q189" s="30" t="s">
        <v>39</v>
      </c>
      <c r="R189" s="30" t="s">
        <v>39</v>
      </c>
      <c r="S189" s="30" t="s">
        <v>39</v>
      </c>
      <c r="T189" s="30">
        <v>2.5</v>
      </c>
      <c r="U189" s="31">
        <v>0.4</v>
      </c>
      <c r="V189" s="31" t="s">
        <v>39</v>
      </c>
      <c r="W189" s="31" t="s">
        <v>39</v>
      </c>
      <c r="X189" s="31" t="s">
        <v>39</v>
      </c>
      <c r="Y189" s="31">
        <v>0.4</v>
      </c>
      <c r="Z189" s="32">
        <v>41.76</v>
      </c>
      <c r="AA189" s="32" t="s">
        <v>39</v>
      </c>
      <c r="AB189" s="32" t="s">
        <v>39</v>
      </c>
      <c r="AC189" s="32" t="s">
        <v>39</v>
      </c>
      <c r="AD189" s="32">
        <v>41.76</v>
      </c>
      <c r="AE189" s="33">
        <v>24.5</v>
      </c>
      <c r="AF189" s="33" t="s">
        <v>39</v>
      </c>
      <c r="AG189" s="33" t="s">
        <v>39</v>
      </c>
      <c r="AH189" s="33" t="s">
        <v>39</v>
      </c>
      <c r="AI189" s="33">
        <v>24.5</v>
      </c>
      <c r="AJ189" s="34" t="s">
        <v>39</v>
      </c>
    </row>
    <row r="190" spans="1:36" ht="38.450000000000003" customHeight="1" x14ac:dyDescent="0.25">
      <c r="A190" s="25">
        <v>2021</v>
      </c>
      <c r="B190" s="26">
        <v>13936</v>
      </c>
      <c r="C190" s="27" t="s">
        <v>274</v>
      </c>
      <c r="D190" s="27" t="s">
        <v>72</v>
      </c>
      <c r="E190" s="27" t="s">
        <v>49</v>
      </c>
      <c r="F190" s="28">
        <v>5310</v>
      </c>
      <c r="G190" s="28">
        <v>123</v>
      </c>
      <c r="H190" s="28">
        <v>1</v>
      </c>
      <c r="I190" s="28">
        <v>0</v>
      </c>
      <c r="J190" s="28">
        <v>5434</v>
      </c>
      <c r="K190" s="29">
        <v>0</v>
      </c>
      <c r="L190" s="29">
        <v>0</v>
      </c>
      <c r="M190" s="29">
        <v>0</v>
      </c>
      <c r="N190" s="29">
        <v>0</v>
      </c>
      <c r="O190" s="29">
        <v>0</v>
      </c>
      <c r="P190" s="30">
        <v>2.2890000000000001</v>
      </c>
      <c r="Q190" s="30">
        <v>50.889000000000003</v>
      </c>
      <c r="R190" s="30">
        <v>5.6</v>
      </c>
      <c r="S190" s="30">
        <v>0</v>
      </c>
      <c r="T190" s="30">
        <v>58.777999999999999</v>
      </c>
      <c r="U190" s="31">
        <v>0.309</v>
      </c>
      <c r="V190" s="31">
        <v>6.867</v>
      </c>
      <c r="W190" s="31">
        <v>0.75600000000000001</v>
      </c>
      <c r="X190" s="31">
        <v>0</v>
      </c>
      <c r="Y190" s="31">
        <v>7.9320000000000004</v>
      </c>
      <c r="Z190" s="32">
        <v>398</v>
      </c>
      <c r="AA190" s="32">
        <v>9</v>
      </c>
      <c r="AB190" s="32">
        <v>39</v>
      </c>
      <c r="AC190" s="32">
        <v>0</v>
      </c>
      <c r="AD190" s="32">
        <v>446</v>
      </c>
      <c r="AE190" s="33">
        <v>106</v>
      </c>
      <c r="AF190" s="33">
        <v>2</v>
      </c>
      <c r="AG190" s="33">
        <v>10</v>
      </c>
      <c r="AH190" s="33">
        <v>0</v>
      </c>
      <c r="AI190" s="33">
        <v>118</v>
      </c>
      <c r="AJ190" s="34" t="s">
        <v>39</v>
      </c>
    </row>
    <row r="191" spans="1:36" ht="38.450000000000003" customHeight="1" x14ac:dyDescent="0.25">
      <c r="A191" s="25">
        <v>2021</v>
      </c>
      <c r="B191" s="26">
        <v>13998</v>
      </c>
      <c r="C191" s="27" t="s">
        <v>275</v>
      </c>
      <c r="D191" s="27" t="s">
        <v>101</v>
      </c>
      <c r="E191" s="27" t="s">
        <v>52</v>
      </c>
      <c r="F191" s="28">
        <v>0</v>
      </c>
      <c r="G191" s="28">
        <v>0</v>
      </c>
      <c r="H191" s="28">
        <v>16</v>
      </c>
      <c r="I191" s="28">
        <v>0</v>
      </c>
      <c r="J191" s="28">
        <v>16</v>
      </c>
      <c r="K191" s="29">
        <v>0</v>
      </c>
      <c r="L191" s="29">
        <v>0</v>
      </c>
      <c r="M191" s="29">
        <v>0</v>
      </c>
      <c r="N191" s="29">
        <v>0</v>
      </c>
      <c r="O191" s="29">
        <v>0</v>
      </c>
      <c r="P191" s="30">
        <v>0</v>
      </c>
      <c r="Q191" s="30">
        <v>0</v>
      </c>
      <c r="R191" s="30">
        <v>216.446</v>
      </c>
      <c r="S191" s="30">
        <v>0</v>
      </c>
      <c r="T191" s="30">
        <v>216.446</v>
      </c>
      <c r="U191" s="31">
        <v>0</v>
      </c>
      <c r="V191" s="31">
        <v>0</v>
      </c>
      <c r="W191" s="31">
        <v>216.446</v>
      </c>
      <c r="X191" s="31">
        <v>0</v>
      </c>
      <c r="Y191" s="31">
        <v>216.446</v>
      </c>
      <c r="Z191" s="32">
        <v>0</v>
      </c>
      <c r="AA191" s="32">
        <v>0</v>
      </c>
      <c r="AB191" s="32">
        <v>9226.0959999999995</v>
      </c>
      <c r="AC191" s="32">
        <v>0</v>
      </c>
      <c r="AD191" s="32">
        <v>9226.0959999999995</v>
      </c>
      <c r="AE191" s="33">
        <v>0</v>
      </c>
      <c r="AF191" s="33">
        <v>0</v>
      </c>
      <c r="AG191" s="33">
        <v>0</v>
      </c>
      <c r="AH191" s="33">
        <v>0</v>
      </c>
      <c r="AI191" s="33">
        <v>0</v>
      </c>
      <c r="AJ191" s="34" t="s">
        <v>39</v>
      </c>
    </row>
    <row r="192" spans="1:36" ht="51" customHeight="1" x14ac:dyDescent="0.25">
      <c r="A192" s="25">
        <v>2021</v>
      </c>
      <c r="B192" s="26">
        <v>14063</v>
      </c>
      <c r="C192" s="27" t="s">
        <v>276</v>
      </c>
      <c r="D192" s="27" t="s">
        <v>63</v>
      </c>
      <c r="E192" s="27" t="s">
        <v>77</v>
      </c>
      <c r="F192" s="28" t="s">
        <v>39</v>
      </c>
      <c r="G192" s="28">
        <v>14</v>
      </c>
      <c r="H192" s="28" t="s">
        <v>39</v>
      </c>
      <c r="I192" s="28" t="s">
        <v>39</v>
      </c>
      <c r="J192" s="28">
        <v>14</v>
      </c>
      <c r="K192" s="29" t="s">
        <v>39</v>
      </c>
      <c r="L192" s="29" t="s">
        <v>39</v>
      </c>
      <c r="M192" s="29" t="s">
        <v>39</v>
      </c>
      <c r="N192" s="29" t="s">
        <v>39</v>
      </c>
      <c r="O192" s="29" t="s">
        <v>39</v>
      </c>
      <c r="P192" s="30" t="s">
        <v>39</v>
      </c>
      <c r="Q192" s="30">
        <v>60.052</v>
      </c>
      <c r="R192" s="30" t="s">
        <v>39</v>
      </c>
      <c r="S192" s="30" t="s">
        <v>39</v>
      </c>
      <c r="T192" s="30">
        <v>60.052</v>
      </c>
      <c r="U192" s="31" t="s">
        <v>39</v>
      </c>
      <c r="V192" s="31" t="s">
        <v>39</v>
      </c>
      <c r="W192" s="31" t="s">
        <v>39</v>
      </c>
      <c r="X192" s="31" t="s">
        <v>39</v>
      </c>
      <c r="Y192" s="31" t="s">
        <v>39</v>
      </c>
      <c r="Z192" s="32" t="s">
        <v>39</v>
      </c>
      <c r="AA192" s="32">
        <v>3569.2809999999999</v>
      </c>
      <c r="AB192" s="32" t="s">
        <v>39</v>
      </c>
      <c r="AC192" s="32" t="s">
        <v>39</v>
      </c>
      <c r="AD192" s="32">
        <v>3569.2809999999999</v>
      </c>
      <c r="AE192" s="33" t="s">
        <v>39</v>
      </c>
      <c r="AF192" s="33" t="s">
        <v>39</v>
      </c>
      <c r="AG192" s="33" t="s">
        <v>39</v>
      </c>
      <c r="AH192" s="33" t="s">
        <v>39</v>
      </c>
      <c r="AI192" s="33" t="s">
        <v>39</v>
      </c>
      <c r="AJ192" s="34" t="s">
        <v>39</v>
      </c>
    </row>
    <row r="193" spans="1:36" ht="51" customHeight="1" x14ac:dyDescent="0.25">
      <c r="A193" s="25">
        <v>2021</v>
      </c>
      <c r="B193" s="26">
        <v>14063</v>
      </c>
      <c r="C193" s="27" t="s">
        <v>276</v>
      </c>
      <c r="D193" s="27" t="s">
        <v>169</v>
      </c>
      <c r="E193" s="27" t="s">
        <v>77</v>
      </c>
      <c r="F193" s="28">
        <v>93476</v>
      </c>
      <c r="G193" s="28">
        <v>15610</v>
      </c>
      <c r="H193" s="28" t="s">
        <v>39</v>
      </c>
      <c r="I193" s="28" t="s">
        <v>39</v>
      </c>
      <c r="J193" s="28">
        <v>109086</v>
      </c>
      <c r="K193" s="29">
        <v>2697.7669999999998</v>
      </c>
      <c r="L193" s="29">
        <v>9076.7559999999994</v>
      </c>
      <c r="M193" s="29" t="s">
        <v>39</v>
      </c>
      <c r="N193" s="29" t="s">
        <v>39</v>
      </c>
      <c r="O193" s="29">
        <v>11774.522999999999</v>
      </c>
      <c r="P193" s="30">
        <v>94.804000000000002</v>
      </c>
      <c r="Q193" s="30">
        <v>100.276</v>
      </c>
      <c r="R193" s="30" t="s">
        <v>39</v>
      </c>
      <c r="S193" s="30" t="s">
        <v>39</v>
      </c>
      <c r="T193" s="30">
        <v>195.08</v>
      </c>
      <c r="U193" s="31">
        <v>94.804000000000002</v>
      </c>
      <c r="V193" s="31">
        <v>7.6029999999999998</v>
      </c>
      <c r="W193" s="31" t="s">
        <v>39</v>
      </c>
      <c r="X193" s="31" t="s">
        <v>39</v>
      </c>
      <c r="Y193" s="31">
        <v>102.407</v>
      </c>
      <c r="Z193" s="32">
        <v>0.192</v>
      </c>
      <c r="AA193" s="32">
        <v>5121.8909999999996</v>
      </c>
      <c r="AB193" s="32" t="s">
        <v>39</v>
      </c>
      <c r="AC193" s="32" t="s">
        <v>39</v>
      </c>
      <c r="AD193" s="32">
        <v>5122.0829999999996</v>
      </c>
      <c r="AE193" s="33">
        <v>482.66300000000001</v>
      </c>
      <c r="AF193" s="33">
        <v>80.375</v>
      </c>
      <c r="AG193" s="33" t="s">
        <v>39</v>
      </c>
      <c r="AH193" s="33" t="s">
        <v>39</v>
      </c>
      <c r="AI193" s="33">
        <v>563.03800000000001</v>
      </c>
      <c r="AJ193" s="34" t="s">
        <v>39</v>
      </c>
    </row>
    <row r="194" spans="1:36" ht="51" customHeight="1" x14ac:dyDescent="0.25">
      <c r="A194" s="25">
        <v>2021</v>
      </c>
      <c r="B194" s="26">
        <v>14127</v>
      </c>
      <c r="C194" s="27" t="s">
        <v>277</v>
      </c>
      <c r="D194" s="27" t="s">
        <v>89</v>
      </c>
      <c r="E194" s="27" t="s">
        <v>77</v>
      </c>
      <c r="F194" s="28">
        <v>52779</v>
      </c>
      <c r="G194" s="28">
        <v>21</v>
      </c>
      <c r="H194" s="28">
        <v>1</v>
      </c>
      <c r="I194" s="28">
        <v>0</v>
      </c>
      <c r="J194" s="28">
        <v>52801</v>
      </c>
      <c r="K194" s="29">
        <v>4164.32</v>
      </c>
      <c r="L194" s="29">
        <v>0</v>
      </c>
      <c r="M194" s="29">
        <v>0</v>
      </c>
      <c r="N194" s="29">
        <v>0</v>
      </c>
      <c r="O194" s="29">
        <v>4164.32</v>
      </c>
      <c r="P194" s="30">
        <v>77.311000000000007</v>
      </c>
      <c r="Q194" s="30">
        <v>31.995000000000001</v>
      </c>
      <c r="R194" s="30">
        <v>12</v>
      </c>
      <c r="S194" s="30">
        <v>0</v>
      </c>
      <c r="T194" s="30">
        <v>121.306</v>
      </c>
      <c r="U194" s="31">
        <v>76.13</v>
      </c>
      <c r="V194" s="31">
        <v>31.995000000000001</v>
      </c>
      <c r="W194" s="31">
        <v>12</v>
      </c>
      <c r="X194" s="31">
        <v>0</v>
      </c>
      <c r="Y194" s="31">
        <v>120.125</v>
      </c>
      <c r="Z194" s="32">
        <v>1485.1</v>
      </c>
      <c r="AA194" s="32">
        <v>1146.9000000000001</v>
      </c>
      <c r="AB194" s="32">
        <v>576</v>
      </c>
      <c r="AC194" s="32">
        <v>0</v>
      </c>
      <c r="AD194" s="32">
        <v>3208</v>
      </c>
      <c r="AE194" s="33">
        <v>513.327</v>
      </c>
      <c r="AF194" s="33">
        <v>0</v>
      </c>
      <c r="AG194" s="33">
        <v>0</v>
      </c>
      <c r="AH194" s="33">
        <v>0</v>
      </c>
      <c r="AI194" s="33">
        <v>513.327</v>
      </c>
      <c r="AJ194" s="34">
        <v>0</v>
      </c>
    </row>
    <row r="195" spans="1:36" ht="38.450000000000003" customHeight="1" x14ac:dyDescent="0.25">
      <c r="A195" s="25">
        <v>2021</v>
      </c>
      <c r="B195" s="26">
        <v>14154</v>
      </c>
      <c r="C195" s="27" t="s">
        <v>278</v>
      </c>
      <c r="D195" s="27" t="s">
        <v>93</v>
      </c>
      <c r="E195" s="27" t="s">
        <v>94</v>
      </c>
      <c r="F195" s="28">
        <v>4120</v>
      </c>
      <c r="G195" s="28">
        <v>90</v>
      </c>
      <c r="H195" s="28">
        <v>22</v>
      </c>
      <c r="I195" s="28">
        <v>0</v>
      </c>
      <c r="J195" s="28">
        <v>4232</v>
      </c>
      <c r="K195" s="29">
        <v>65.400000000000006</v>
      </c>
      <c r="L195" s="29">
        <v>105.001</v>
      </c>
      <c r="M195" s="29">
        <v>132.61799999999999</v>
      </c>
      <c r="N195" s="29">
        <v>0</v>
      </c>
      <c r="O195" s="29">
        <v>303.01900000000001</v>
      </c>
      <c r="P195" s="30">
        <v>4.0999999999999996</v>
      </c>
      <c r="Q195" s="30">
        <v>9.85</v>
      </c>
      <c r="R195" s="30">
        <v>14.29</v>
      </c>
      <c r="S195" s="30">
        <v>0</v>
      </c>
      <c r="T195" s="30">
        <v>28.24</v>
      </c>
      <c r="U195" s="31">
        <v>3.88</v>
      </c>
      <c r="V195" s="31">
        <v>9.5399999999999991</v>
      </c>
      <c r="W195" s="31">
        <v>6.89</v>
      </c>
      <c r="X195" s="31">
        <v>0</v>
      </c>
      <c r="Y195" s="31">
        <v>20.309999999999999</v>
      </c>
      <c r="Z195" s="32">
        <v>169.095</v>
      </c>
      <c r="AA195" s="32">
        <v>246.70699999999999</v>
      </c>
      <c r="AB195" s="32">
        <v>252.322</v>
      </c>
      <c r="AC195" s="32">
        <v>0</v>
      </c>
      <c r="AD195" s="32">
        <v>668.12400000000002</v>
      </c>
      <c r="AE195" s="33">
        <v>237.67699999999999</v>
      </c>
      <c r="AF195" s="33">
        <v>32.593000000000004</v>
      </c>
      <c r="AG195" s="33">
        <v>33.334000000000003</v>
      </c>
      <c r="AH195" s="33">
        <v>0</v>
      </c>
      <c r="AI195" s="33">
        <v>303.60399999999998</v>
      </c>
      <c r="AJ195" s="34" t="s">
        <v>39</v>
      </c>
    </row>
    <row r="196" spans="1:36" ht="63.6" customHeight="1" x14ac:dyDescent="0.25">
      <c r="A196" s="25">
        <v>2021</v>
      </c>
      <c r="B196" s="26">
        <v>14175</v>
      </c>
      <c r="C196" s="27" t="s">
        <v>279</v>
      </c>
      <c r="D196" s="27" t="s">
        <v>35</v>
      </c>
      <c r="E196" s="27" t="s">
        <v>35</v>
      </c>
      <c r="F196" s="28">
        <v>17326</v>
      </c>
      <c r="G196" s="28" t="s">
        <v>39</v>
      </c>
      <c r="H196" s="28">
        <v>242</v>
      </c>
      <c r="I196" s="28" t="s">
        <v>39</v>
      </c>
      <c r="J196" s="28">
        <v>17568</v>
      </c>
      <c r="K196" s="29">
        <v>1013</v>
      </c>
      <c r="L196" s="29" t="s">
        <v>39</v>
      </c>
      <c r="M196" s="29">
        <v>320</v>
      </c>
      <c r="N196" s="29" t="s">
        <v>39</v>
      </c>
      <c r="O196" s="29">
        <v>1333</v>
      </c>
      <c r="P196" s="30">
        <v>3</v>
      </c>
      <c r="Q196" s="30" t="s">
        <v>39</v>
      </c>
      <c r="R196" s="30">
        <v>0</v>
      </c>
      <c r="S196" s="30" t="s">
        <v>39</v>
      </c>
      <c r="T196" s="30">
        <v>3</v>
      </c>
      <c r="U196" s="31" t="s">
        <v>39</v>
      </c>
      <c r="V196" s="31" t="s">
        <v>39</v>
      </c>
      <c r="W196" s="31" t="s">
        <v>39</v>
      </c>
      <c r="X196" s="31" t="s">
        <v>39</v>
      </c>
      <c r="Y196" s="31" t="s">
        <v>39</v>
      </c>
      <c r="Z196" s="32" t="s">
        <v>39</v>
      </c>
      <c r="AA196" s="32" t="s">
        <v>39</v>
      </c>
      <c r="AB196" s="32" t="s">
        <v>39</v>
      </c>
      <c r="AC196" s="32" t="s">
        <v>39</v>
      </c>
      <c r="AD196" s="32" t="s">
        <v>39</v>
      </c>
      <c r="AE196" s="33" t="s">
        <v>39</v>
      </c>
      <c r="AF196" s="33" t="s">
        <v>39</v>
      </c>
      <c r="AG196" s="33" t="s">
        <v>39</v>
      </c>
      <c r="AH196" s="33" t="s">
        <v>39</v>
      </c>
      <c r="AI196" s="33" t="s">
        <v>39</v>
      </c>
      <c r="AJ196" s="34" t="s">
        <v>39</v>
      </c>
    </row>
    <row r="197" spans="1:36" ht="38.450000000000003" customHeight="1" x14ac:dyDescent="0.25">
      <c r="A197" s="25">
        <v>2021</v>
      </c>
      <c r="B197" s="26">
        <v>14232</v>
      </c>
      <c r="C197" s="27" t="s">
        <v>280</v>
      </c>
      <c r="D197" s="27" t="s">
        <v>48</v>
      </c>
      <c r="E197" s="27" t="s">
        <v>49</v>
      </c>
      <c r="F197" s="28">
        <v>18547</v>
      </c>
      <c r="G197" s="28">
        <v>1611</v>
      </c>
      <c r="H197" s="28" t="s">
        <v>39</v>
      </c>
      <c r="I197" s="28" t="s">
        <v>39</v>
      </c>
      <c r="J197" s="28">
        <v>20158</v>
      </c>
      <c r="K197" s="29" t="s">
        <v>39</v>
      </c>
      <c r="L197" s="29" t="s">
        <v>39</v>
      </c>
      <c r="M197" s="29" t="s">
        <v>39</v>
      </c>
      <c r="N197" s="29" t="s">
        <v>39</v>
      </c>
      <c r="O197" s="29" t="s">
        <v>39</v>
      </c>
      <c r="P197" s="30">
        <v>17</v>
      </c>
      <c r="Q197" s="30">
        <v>35</v>
      </c>
      <c r="R197" s="30" t="s">
        <v>39</v>
      </c>
      <c r="S197" s="30" t="s">
        <v>39</v>
      </c>
      <c r="T197" s="30">
        <v>52</v>
      </c>
      <c r="U197" s="31">
        <v>17</v>
      </c>
      <c r="V197" s="31">
        <v>35</v>
      </c>
      <c r="W197" s="31" t="s">
        <v>39</v>
      </c>
      <c r="X197" s="31" t="s">
        <v>39</v>
      </c>
      <c r="Y197" s="31">
        <v>52</v>
      </c>
      <c r="Z197" s="32">
        <v>17.5</v>
      </c>
      <c r="AA197" s="32">
        <v>16.3</v>
      </c>
      <c r="AB197" s="32" t="s">
        <v>39</v>
      </c>
      <c r="AC197" s="32" t="s">
        <v>39</v>
      </c>
      <c r="AD197" s="32">
        <v>33.799999999999997</v>
      </c>
      <c r="AE197" s="33">
        <v>41.2</v>
      </c>
      <c r="AF197" s="33">
        <v>38.5</v>
      </c>
      <c r="AG197" s="33" t="s">
        <v>39</v>
      </c>
      <c r="AH197" s="33" t="s">
        <v>39</v>
      </c>
      <c r="AI197" s="33">
        <v>79.7</v>
      </c>
      <c r="AJ197" s="34" t="s">
        <v>39</v>
      </c>
    </row>
    <row r="198" spans="1:36" ht="38.450000000000003" customHeight="1" x14ac:dyDescent="0.25">
      <c r="A198" s="25">
        <v>2021</v>
      </c>
      <c r="B198" s="26">
        <v>14232</v>
      </c>
      <c r="C198" s="27" t="s">
        <v>280</v>
      </c>
      <c r="D198" s="27" t="s">
        <v>84</v>
      </c>
      <c r="E198" s="27" t="s">
        <v>49</v>
      </c>
      <c r="F198" s="28">
        <v>15912</v>
      </c>
      <c r="G198" s="28">
        <v>2053</v>
      </c>
      <c r="H198" s="28" t="s">
        <v>39</v>
      </c>
      <c r="I198" s="28" t="s">
        <v>39</v>
      </c>
      <c r="J198" s="28">
        <v>17965</v>
      </c>
      <c r="K198" s="29" t="s">
        <v>39</v>
      </c>
      <c r="L198" s="29" t="s">
        <v>39</v>
      </c>
      <c r="M198" s="29" t="s">
        <v>39</v>
      </c>
      <c r="N198" s="29" t="s">
        <v>39</v>
      </c>
      <c r="O198" s="29" t="s">
        <v>39</v>
      </c>
      <c r="P198" s="30">
        <v>16</v>
      </c>
      <c r="Q198" s="30">
        <v>16</v>
      </c>
      <c r="R198" s="30" t="s">
        <v>39</v>
      </c>
      <c r="S198" s="30" t="s">
        <v>39</v>
      </c>
      <c r="T198" s="30">
        <v>32</v>
      </c>
      <c r="U198" s="31">
        <v>16</v>
      </c>
      <c r="V198" s="31">
        <v>16</v>
      </c>
      <c r="W198" s="31" t="s">
        <v>39</v>
      </c>
      <c r="X198" s="31" t="s">
        <v>39</v>
      </c>
      <c r="Y198" s="31">
        <v>32</v>
      </c>
      <c r="Z198" s="32">
        <v>221.8</v>
      </c>
      <c r="AA198" s="32">
        <v>276.3</v>
      </c>
      <c r="AB198" s="32" t="s">
        <v>39</v>
      </c>
      <c r="AC198" s="32" t="s">
        <v>39</v>
      </c>
      <c r="AD198" s="32">
        <v>498.1</v>
      </c>
      <c r="AE198" s="33">
        <v>170.4</v>
      </c>
      <c r="AF198" s="33">
        <v>167.7</v>
      </c>
      <c r="AG198" s="33" t="s">
        <v>39</v>
      </c>
      <c r="AH198" s="33" t="s">
        <v>39</v>
      </c>
      <c r="AI198" s="33">
        <v>338.1</v>
      </c>
      <c r="AJ198" s="34" t="s">
        <v>39</v>
      </c>
    </row>
    <row r="199" spans="1:36" ht="38.450000000000003" customHeight="1" x14ac:dyDescent="0.25">
      <c r="A199" s="25">
        <v>2021</v>
      </c>
      <c r="B199" s="26">
        <v>14232</v>
      </c>
      <c r="C199" s="27" t="s">
        <v>280</v>
      </c>
      <c r="D199" s="27" t="s">
        <v>76</v>
      </c>
      <c r="E199" s="27" t="s">
        <v>49</v>
      </c>
      <c r="F199" s="28">
        <v>3713</v>
      </c>
      <c r="G199" s="28">
        <v>323</v>
      </c>
      <c r="H199" s="28" t="s">
        <v>39</v>
      </c>
      <c r="I199" s="28" t="s">
        <v>39</v>
      </c>
      <c r="J199" s="28">
        <v>4036</v>
      </c>
      <c r="K199" s="29" t="s">
        <v>39</v>
      </c>
      <c r="L199" s="29" t="s">
        <v>39</v>
      </c>
      <c r="M199" s="29" t="s">
        <v>39</v>
      </c>
      <c r="N199" s="29" t="s">
        <v>39</v>
      </c>
      <c r="O199" s="29" t="s">
        <v>39</v>
      </c>
      <c r="P199" s="30">
        <v>4</v>
      </c>
      <c r="Q199" s="30">
        <v>8</v>
      </c>
      <c r="R199" s="30" t="s">
        <v>39</v>
      </c>
      <c r="S199" s="30" t="s">
        <v>39</v>
      </c>
      <c r="T199" s="30">
        <v>12</v>
      </c>
      <c r="U199" s="31">
        <v>4</v>
      </c>
      <c r="V199" s="31">
        <v>8</v>
      </c>
      <c r="W199" s="31" t="s">
        <v>39</v>
      </c>
      <c r="X199" s="31" t="s">
        <v>39</v>
      </c>
      <c r="Y199" s="31">
        <v>12</v>
      </c>
      <c r="Z199" s="32">
        <v>3.8</v>
      </c>
      <c r="AA199" s="32">
        <v>14.5</v>
      </c>
      <c r="AB199" s="32" t="s">
        <v>39</v>
      </c>
      <c r="AC199" s="32" t="s">
        <v>39</v>
      </c>
      <c r="AD199" s="32">
        <v>18.3</v>
      </c>
      <c r="AE199" s="33">
        <v>4.8</v>
      </c>
      <c r="AF199" s="33">
        <v>18</v>
      </c>
      <c r="AG199" s="33" t="s">
        <v>39</v>
      </c>
      <c r="AH199" s="33" t="s">
        <v>39</v>
      </c>
      <c r="AI199" s="33">
        <v>22.8</v>
      </c>
      <c r="AJ199" s="34" t="s">
        <v>39</v>
      </c>
    </row>
    <row r="200" spans="1:36" ht="38.450000000000003" customHeight="1" x14ac:dyDescent="0.25">
      <c r="A200" s="25">
        <v>2021</v>
      </c>
      <c r="B200" s="26">
        <v>14246</v>
      </c>
      <c r="C200" s="27" t="s">
        <v>281</v>
      </c>
      <c r="D200" s="27" t="s">
        <v>48</v>
      </c>
      <c r="E200" s="27" t="s">
        <v>49</v>
      </c>
      <c r="F200" s="28">
        <v>6676</v>
      </c>
      <c r="G200" s="28">
        <v>253</v>
      </c>
      <c r="H200" s="28">
        <v>10</v>
      </c>
      <c r="I200" s="28">
        <v>0</v>
      </c>
      <c r="J200" s="28">
        <v>6939</v>
      </c>
      <c r="K200" s="29">
        <v>90.058999999999997</v>
      </c>
      <c r="L200" s="29">
        <v>10.816000000000001</v>
      </c>
      <c r="M200" s="29">
        <v>53.088999999999999</v>
      </c>
      <c r="N200" s="29">
        <v>0</v>
      </c>
      <c r="O200" s="29">
        <v>153.964</v>
      </c>
      <c r="P200" s="30">
        <v>2.0030000000000001</v>
      </c>
      <c r="Q200" s="30">
        <v>0.19</v>
      </c>
      <c r="R200" s="30">
        <v>4</v>
      </c>
      <c r="S200" s="30">
        <v>0</v>
      </c>
      <c r="T200" s="30">
        <v>6.1929999999999996</v>
      </c>
      <c r="U200" s="31">
        <v>1.897</v>
      </c>
      <c r="V200" s="31">
        <v>0.124</v>
      </c>
      <c r="W200" s="31">
        <v>3.2429999999999999</v>
      </c>
      <c r="X200" s="31">
        <v>0</v>
      </c>
      <c r="Y200" s="31">
        <v>5.2640000000000002</v>
      </c>
      <c r="Z200" s="32">
        <v>137.416</v>
      </c>
      <c r="AA200" s="32">
        <v>16.629000000000001</v>
      </c>
      <c r="AB200" s="32">
        <v>104.489</v>
      </c>
      <c r="AC200" s="32">
        <v>0</v>
      </c>
      <c r="AD200" s="32">
        <v>258.53399999999999</v>
      </c>
      <c r="AE200" s="33">
        <v>0</v>
      </c>
      <c r="AF200" s="33">
        <v>0</v>
      </c>
      <c r="AG200" s="33">
        <v>0</v>
      </c>
      <c r="AH200" s="33">
        <v>0</v>
      </c>
      <c r="AI200" s="33">
        <v>0</v>
      </c>
      <c r="AJ200" s="34" t="s">
        <v>39</v>
      </c>
    </row>
    <row r="201" spans="1:36" ht="51" customHeight="1" x14ac:dyDescent="0.25">
      <c r="A201" s="25">
        <v>2021</v>
      </c>
      <c r="B201" s="26">
        <v>14328</v>
      </c>
      <c r="C201" s="27" t="s">
        <v>282</v>
      </c>
      <c r="D201" s="27" t="s">
        <v>42</v>
      </c>
      <c r="E201" s="27" t="s">
        <v>43</v>
      </c>
      <c r="F201" s="28">
        <v>86624</v>
      </c>
      <c r="G201" s="28">
        <v>615</v>
      </c>
      <c r="H201" s="28">
        <v>157</v>
      </c>
      <c r="I201" s="28">
        <v>0</v>
      </c>
      <c r="J201" s="28">
        <v>87396</v>
      </c>
      <c r="K201" s="29">
        <v>308</v>
      </c>
      <c r="L201" s="29">
        <v>77</v>
      </c>
      <c r="M201" s="29">
        <v>373</v>
      </c>
      <c r="N201" s="29">
        <v>0</v>
      </c>
      <c r="O201" s="29">
        <v>758</v>
      </c>
      <c r="P201" s="30">
        <v>26</v>
      </c>
      <c r="Q201" s="30">
        <v>21</v>
      </c>
      <c r="R201" s="30">
        <v>181</v>
      </c>
      <c r="S201" s="30">
        <v>0</v>
      </c>
      <c r="T201" s="30">
        <v>228</v>
      </c>
      <c r="U201" s="31">
        <v>26</v>
      </c>
      <c r="V201" s="31">
        <v>18</v>
      </c>
      <c r="W201" s="31">
        <v>154</v>
      </c>
      <c r="X201" s="31">
        <v>0</v>
      </c>
      <c r="Y201" s="31">
        <v>198</v>
      </c>
      <c r="Z201" s="32">
        <v>1</v>
      </c>
      <c r="AA201" s="32">
        <v>1226</v>
      </c>
      <c r="AB201" s="32">
        <v>18386</v>
      </c>
      <c r="AC201" s="32">
        <v>0</v>
      </c>
      <c r="AD201" s="32">
        <v>19613</v>
      </c>
      <c r="AE201" s="33">
        <v>0</v>
      </c>
      <c r="AF201" s="33">
        <v>0</v>
      </c>
      <c r="AG201" s="33">
        <v>0</v>
      </c>
      <c r="AH201" s="33">
        <v>0</v>
      </c>
      <c r="AI201" s="33">
        <v>0</v>
      </c>
      <c r="AJ201" s="34">
        <v>0</v>
      </c>
    </row>
    <row r="202" spans="1:36" ht="26.1" customHeight="1" x14ac:dyDescent="0.25">
      <c r="A202" s="25">
        <v>2021</v>
      </c>
      <c r="B202" s="26">
        <v>14354</v>
      </c>
      <c r="C202" s="27" t="s">
        <v>283</v>
      </c>
      <c r="D202" s="27" t="s">
        <v>191</v>
      </c>
      <c r="E202" s="27" t="s">
        <v>284</v>
      </c>
      <c r="F202" s="28" t="s">
        <v>39</v>
      </c>
      <c r="G202" s="28" t="s">
        <v>39</v>
      </c>
      <c r="H202" s="28">
        <v>163</v>
      </c>
      <c r="I202" s="28" t="s">
        <v>39</v>
      </c>
      <c r="J202" s="28">
        <v>163</v>
      </c>
      <c r="K202" s="29" t="s">
        <v>39</v>
      </c>
      <c r="L202" s="29" t="s">
        <v>39</v>
      </c>
      <c r="M202" s="29" t="s">
        <v>39</v>
      </c>
      <c r="N202" s="29" t="s">
        <v>39</v>
      </c>
      <c r="O202" s="29" t="s">
        <v>39</v>
      </c>
      <c r="P202" s="30" t="s">
        <v>39</v>
      </c>
      <c r="Q202" s="30" t="s">
        <v>39</v>
      </c>
      <c r="R202" s="30">
        <v>193</v>
      </c>
      <c r="S202" s="30" t="s">
        <v>39</v>
      </c>
      <c r="T202" s="30">
        <v>193</v>
      </c>
      <c r="U202" s="31" t="s">
        <v>39</v>
      </c>
      <c r="V202" s="31" t="s">
        <v>39</v>
      </c>
      <c r="W202" s="31">
        <v>142.44999999999999</v>
      </c>
      <c r="X202" s="31" t="s">
        <v>39</v>
      </c>
      <c r="Y202" s="31">
        <v>142.44999999999999</v>
      </c>
      <c r="Z202" s="32" t="s">
        <v>39</v>
      </c>
      <c r="AA202" s="32" t="s">
        <v>39</v>
      </c>
      <c r="AB202" s="32" t="s">
        <v>39</v>
      </c>
      <c r="AC202" s="32" t="s">
        <v>39</v>
      </c>
      <c r="AD202" s="32" t="s">
        <v>39</v>
      </c>
      <c r="AE202" s="33" t="s">
        <v>39</v>
      </c>
      <c r="AF202" s="33" t="s">
        <v>39</v>
      </c>
      <c r="AG202" s="33">
        <v>3805.0810000000001</v>
      </c>
      <c r="AH202" s="33" t="s">
        <v>39</v>
      </c>
      <c r="AI202" s="33">
        <v>3805.0810000000001</v>
      </c>
      <c r="AJ202" s="34">
        <v>0</v>
      </c>
    </row>
    <row r="203" spans="1:36" ht="26.1" customHeight="1" x14ac:dyDescent="0.25">
      <c r="A203" s="25">
        <v>2021</v>
      </c>
      <c r="B203" s="26">
        <v>14354</v>
      </c>
      <c r="C203" s="27" t="s">
        <v>283</v>
      </c>
      <c r="D203" s="27" t="s">
        <v>193</v>
      </c>
      <c r="E203" s="27" t="s">
        <v>285</v>
      </c>
      <c r="F203" s="28" t="s">
        <v>39</v>
      </c>
      <c r="G203" s="28" t="s">
        <v>39</v>
      </c>
      <c r="H203" s="28">
        <v>5</v>
      </c>
      <c r="I203" s="28" t="s">
        <v>39</v>
      </c>
      <c r="J203" s="28">
        <v>5</v>
      </c>
      <c r="K203" s="29" t="s">
        <v>39</v>
      </c>
      <c r="L203" s="29" t="s">
        <v>39</v>
      </c>
      <c r="M203" s="29" t="s">
        <v>39</v>
      </c>
      <c r="N203" s="29" t="s">
        <v>39</v>
      </c>
      <c r="O203" s="29" t="s">
        <v>39</v>
      </c>
      <c r="P203" s="30" t="s">
        <v>39</v>
      </c>
      <c r="Q203" s="30" t="s">
        <v>39</v>
      </c>
      <c r="R203" s="30">
        <v>0.47299999999999998</v>
      </c>
      <c r="S203" s="30" t="s">
        <v>39</v>
      </c>
      <c r="T203" s="30">
        <v>0.47299999999999998</v>
      </c>
      <c r="U203" s="31" t="s">
        <v>39</v>
      </c>
      <c r="V203" s="31" t="s">
        <v>39</v>
      </c>
      <c r="W203" s="31">
        <v>0.36</v>
      </c>
      <c r="X203" s="31" t="s">
        <v>39</v>
      </c>
      <c r="Y203" s="31">
        <v>0.36</v>
      </c>
      <c r="Z203" s="32" t="s">
        <v>39</v>
      </c>
      <c r="AA203" s="32" t="s">
        <v>39</v>
      </c>
      <c r="AB203" s="32" t="s">
        <v>39</v>
      </c>
      <c r="AC203" s="32" t="s">
        <v>39</v>
      </c>
      <c r="AD203" s="32" t="s">
        <v>39</v>
      </c>
      <c r="AE203" s="33" t="s">
        <v>39</v>
      </c>
      <c r="AF203" s="33" t="s">
        <v>39</v>
      </c>
      <c r="AG203" s="33">
        <v>146.13499999999999</v>
      </c>
      <c r="AH203" s="33" t="s">
        <v>39</v>
      </c>
      <c r="AI203" s="33">
        <v>146.13499999999999</v>
      </c>
      <c r="AJ203" s="34">
        <v>0</v>
      </c>
    </row>
    <row r="204" spans="1:36" ht="26.1" customHeight="1" x14ac:dyDescent="0.25">
      <c r="A204" s="25">
        <v>2021</v>
      </c>
      <c r="B204" s="26">
        <v>14354</v>
      </c>
      <c r="C204" s="27" t="s">
        <v>283</v>
      </c>
      <c r="D204" s="27" t="s">
        <v>286</v>
      </c>
      <c r="E204" s="27" t="s">
        <v>284</v>
      </c>
      <c r="F204" s="28">
        <v>93942</v>
      </c>
      <c r="G204" s="28" t="s">
        <v>39</v>
      </c>
      <c r="H204" s="28">
        <v>31</v>
      </c>
      <c r="I204" s="28" t="s">
        <v>39</v>
      </c>
      <c r="J204" s="28">
        <v>93973</v>
      </c>
      <c r="K204" s="29" t="s">
        <v>39</v>
      </c>
      <c r="L204" s="29" t="s">
        <v>39</v>
      </c>
      <c r="M204" s="29" t="s">
        <v>39</v>
      </c>
      <c r="N204" s="29" t="s">
        <v>39</v>
      </c>
      <c r="O204" s="29" t="s">
        <v>39</v>
      </c>
      <c r="P204" s="30">
        <v>260</v>
      </c>
      <c r="Q204" s="30" t="s">
        <v>39</v>
      </c>
      <c r="R204" s="30">
        <v>14</v>
      </c>
      <c r="S204" s="30" t="s">
        <v>39</v>
      </c>
      <c r="T204" s="30">
        <v>274</v>
      </c>
      <c r="U204" s="31">
        <v>253.4</v>
      </c>
      <c r="V204" s="31" t="s">
        <v>39</v>
      </c>
      <c r="W204" s="31">
        <v>13.253</v>
      </c>
      <c r="X204" s="31" t="s">
        <v>39</v>
      </c>
      <c r="Y204" s="31">
        <v>266.65300000000002</v>
      </c>
      <c r="Z204" s="32">
        <v>3264.5450000000001</v>
      </c>
      <c r="AA204" s="32" t="s">
        <v>39</v>
      </c>
      <c r="AB204" s="32">
        <v>0</v>
      </c>
      <c r="AC204" s="32" t="s">
        <v>39</v>
      </c>
      <c r="AD204" s="32">
        <v>3264.5450000000001</v>
      </c>
      <c r="AE204" s="33">
        <v>2369.5349999999999</v>
      </c>
      <c r="AF204" s="33" t="s">
        <v>39</v>
      </c>
      <c r="AG204" s="33">
        <v>55.811999999999998</v>
      </c>
      <c r="AH204" s="33" t="s">
        <v>39</v>
      </c>
      <c r="AI204" s="33">
        <v>2425.3470000000002</v>
      </c>
      <c r="AJ204" s="34">
        <v>0</v>
      </c>
    </row>
    <row r="205" spans="1:36" ht="38.450000000000003" customHeight="1" x14ac:dyDescent="0.25">
      <c r="A205" s="25">
        <v>2021</v>
      </c>
      <c r="B205" s="26">
        <v>14398</v>
      </c>
      <c r="C205" s="27" t="s">
        <v>287</v>
      </c>
      <c r="D205" s="27" t="s">
        <v>35</v>
      </c>
      <c r="E205" s="27" t="s">
        <v>35</v>
      </c>
      <c r="F205" s="28">
        <v>39400</v>
      </c>
      <c r="G205" s="28">
        <v>60</v>
      </c>
      <c r="H205" s="28">
        <v>6</v>
      </c>
      <c r="I205" s="28" t="s">
        <v>39</v>
      </c>
      <c r="J205" s="28">
        <v>39466</v>
      </c>
      <c r="K205" s="29">
        <v>181.636</v>
      </c>
      <c r="L205" s="29">
        <v>0</v>
      </c>
      <c r="M205" s="29">
        <v>0</v>
      </c>
      <c r="N205" s="29" t="s">
        <v>39</v>
      </c>
      <c r="O205" s="29">
        <v>181.636</v>
      </c>
      <c r="P205" s="30">
        <v>35.53</v>
      </c>
      <c r="Q205" s="30">
        <v>9.0289999999999999</v>
      </c>
      <c r="R205" s="30">
        <v>3.2389999999999999</v>
      </c>
      <c r="S205" s="30" t="s">
        <v>39</v>
      </c>
      <c r="T205" s="30">
        <v>47.798000000000002</v>
      </c>
      <c r="U205" s="31">
        <v>24.870999999999999</v>
      </c>
      <c r="V205" s="31">
        <v>7.133</v>
      </c>
      <c r="W205" s="31">
        <v>2.516</v>
      </c>
      <c r="X205" s="31" t="s">
        <v>39</v>
      </c>
      <c r="Y205" s="31">
        <v>34.520000000000003</v>
      </c>
      <c r="Z205" s="32">
        <v>41.35</v>
      </c>
      <c r="AA205" s="32">
        <v>0</v>
      </c>
      <c r="AB205" s="32">
        <v>0</v>
      </c>
      <c r="AC205" s="32">
        <v>0</v>
      </c>
      <c r="AD205" s="32">
        <v>41.35</v>
      </c>
      <c r="AE205" s="33">
        <v>865.62400000000002</v>
      </c>
      <c r="AF205" s="33">
        <v>19.526</v>
      </c>
      <c r="AG205" s="33">
        <v>2.1640000000000001</v>
      </c>
      <c r="AH205" s="33">
        <v>0</v>
      </c>
      <c r="AI205" s="33">
        <v>887.31399999999996</v>
      </c>
      <c r="AJ205" s="34">
        <v>250</v>
      </c>
    </row>
    <row r="206" spans="1:36" ht="51" customHeight="1" x14ac:dyDescent="0.25">
      <c r="A206" s="25">
        <v>2021</v>
      </c>
      <c r="B206" s="26">
        <v>14468</v>
      </c>
      <c r="C206" s="27" t="s">
        <v>288</v>
      </c>
      <c r="D206" s="27" t="s">
        <v>48</v>
      </c>
      <c r="E206" s="27" t="s">
        <v>49</v>
      </c>
      <c r="F206" s="28">
        <v>2842</v>
      </c>
      <c r="G206" s="28">
        <v>60</v>
      </c>
      <c r="H206" s="28">
        <v>3</v>
      </c>
      <c r="I206" s="28">
        <v>0</v>
      </c>
      <c r="J206" s="28">
        <v>2905</v>
      </c>
      <c r="K206" s="29">
        <v>0</v>
      </c>
      <c r="L206" s="29">
        <v>0</v>
      </c>
      <c r="M206" s="29">
        <v>0</v>
      </c>
      <c r="N206" s="29">
        <v>0</v>
      </c>
      <c r="O206" s="29">
        <v>0</v>
      </c>
      <c r="P206" s="30">
        <v>2.56</v>
      </c>
      <c r="Q206" s="30">
        <v>3.76</v>
      </c>
      <c r="R206" s="30">
        <v>0.46700000000000003</v>
      </c>
      <c r="S206" s="30">
        <v>0</v>
      </c>
      <c r="T206" s="30">
        <v>6.7869999999999999</v>
      </c>
      <c r="U206" s="31">
        <v>2.1659999999999999</v>
      </c>
      <c r="V206" s="31">
        <v>3.181</v>
      </c>
      <c r="W206" s="31">
        <v>0.39500000000000002</v>
      </c>
      <c r="X206" s="31">
        <v>0</v>
      </c>
      <c r="Y206" s="31">
        <v>5.742</v>
      </c>
      <c r="Z206" s="32">
        <v>384</v>
      </c>
      <c r="AA206" s="32">
        <v>8</v>
      </c>
      <c r="AB206" s="32">
        <v>27</v>
      </c>
      <c r="AC206" s="32">
        <v>0</v>
      </c>
      <c r="AD206" s="32">
        <v>419</v>
      </c>
      <c r="AE206" s="33">
        <v>147</v>
      </c>
      <c r="AF206" s="33">
        <v>3</v>
      </c>
      <c r="AG206" s="33">
        <v>10</v>
      </c>
      <c r="AH206" s="33">
        <v>0</v>
      </c>
      <c r="AI206" s="33">
        <v>160</v>
      </c>
      <c r="AJ206" s="34">
        <v>0</v>
      </c>
    </row>
    <row r="207" spans="1:36" ht="51" customHeight="1" x14ac:dyDescent="0.25">
      <c r="A207" s="25">
        <v>2021</v>
      </c>
      <c r="B207" s="26">
        <v>14715</v>
      </c>
      <c r="C207" s="27" t="s">
        <v>289</v>
      </c>
      <c r="D207" s="27" t="s">
        <v>51</v>
      </c>
      <c r="E207" s="27" t="s">
        <v>52</v>
      </c>
      <c r="F207" s="28" t="s">
        <v>39</v>
      </c>
      <c r="G207" s="28" t="s">
        <v>39</v>
      </c>
      <c r="H207" s="28" t="s">
        <v>39</v>
      </c>
      <c r="I207" s="28" t="s">
        <v>39</v>
      </c>
      <c r="J207" s="28" t="s">
        <v>39</v>
      </c>
      <c r="K207" s="29" t="s">
        <v>39</v>
      </c>
      <c r="L207" s="29" t="s">
        <v>39</v>
      </c>
      <c r="M207" s="29" t="s">
        <v>39</v>
      </c>
      <c r="N207" s="29" t="s">
        <v>39</v>
      </c>
      <c r="O207" s="29" t="s">
        <v>39</v>
      </c>
      <c r="P207" s="30" t="s">
        <v>39</v>
      </c>
      <c r="Q207" s="30" t="s">
        <v>39</v>
      </c>
      <c r="R207" s="30" t="s">
        <v>39</v>
      </c>
      <c r="S207" s="30" t="s">
        <v>39</v>
      </c>
      <c r="T207" s="30" t="s">
        <v>39</v>
      </c>
      <c r="U207" s="31" t="s">
        <v>39</v>
      </c>
      <c r="V207" s="31" t="s">
        <v>39</v>
      </c>
      <c r="W207" s="31" t="s">
        <v>39</v>
      </c>
      <c r="X207" s="31" t="s">
        <v>39</v>
      </c>
      <c r="Y207" s="31" t="s">
        <v>39</v>
      </c>
      <c r="Z207" s="32" t="s">
        <v>39</v>
      </c>
      <c r="AA207" s="32" t="s">
        <v>39</v>
      </c>
      <c r="AB207" s="32" t="s">
        <v>39</v>
      </c>
      <c r="AC207" s="32" t="s">
        <v>39</v>
      </c>
      <c r="AD207" s="32" t="s">
        <v>39</v>
      </c>
      <c r="AE207" s="33">
        <v>0</v>
      </c>
      <c r="AF207" s="33">
        <v>26</v>
      </c>
      <c r="AG207" s="33">
        <v>490</v>
      </c>
      <c r="AH207" s="33">
        <v>0</v>
      </c>
      <c r="AI207" s="33">
        <v>516</v>
      </c>
      <c r="AJ207" s="34" t="s">
        <v>39</v>
      </c>
    </row>
    <row r="208" spans="1:36" ht="51" customHeight="1" x14ac:dyDescent="0.25">
      <c r="A208" s="25">
        <v>2021</v>
      </c>
      <c r="B208" s="26">
        <v>14717</v>
      </c>
      <c r="C208" s="27" t="s">
        <v>290</v>
      </c>
      <c r="D208" s="27" t="s">
        <v>79</v>
      </c>
      <c r="E208" s="27" t="s">
        <v>86</v>
      </c>
      <c r="F208" s="28" t="s">
        <v>39</v>
      </c>
      <c r="G208" s="28">
        <v>103</v>
      </c>
      <c r="H208" s="28" t="s">
        <v>39</v>
      </c>
      <c r="I208" s="28" t="s">
        <v>39</v>
      </c>
      <c r="J208" s="28">
        <v>103</v>
      </c>
      <c r="K208" s="29" t="s">
        <v>39</v>
      </c>
      <c r="L208" s="29" t="s">
        <v>39</v>
      </c>
      <c r="M208" s="29" t="s">
        <v>39</v>
      </c>
      <c r="N208" s="29" t="s">
        <v>39</v>
      </c>
      <c r="O208" s="29" t="s">
        <v>39</v>
      </c>
      <c r="P208" s="30" t="s">
        <v>39</v>
      </c>
      <c r="Q208" s="30">
        <v>5.9740000000000002</v>
      </c>
      <c r="R208" s="30" t="s">
        <v>39</v>
      </c>
      <c r="S208" s="30" t="s">
        <v>39</v>
      </c>
      <c r="T208" s="30">
        <v>5.9740000000000002</v>
      </c>
      <c r="U208" s="31" t="s">
        <v>39</v>
      </c>
      <c r="V208" s="31" t="s">
        <v>39</v>
      </c>
      <c r="W208" s="31" t="s">
        <v>39</v>
      </c>
      <c r="X208" s="31" t="s">
        <v>39</v>
      </c>
      <c r="Y208" s="31" t="s">
        <v>39</v>
      </c>
      <c r="Z208" s="32" t="s">
        <v>39</v>
      </c>
      <c r="AA208" s="32" t="s">
        <v>39</v>
      </c>
      <c r="AB208" s="32" t="s">
        <v>39</v>
      </c>
      <c r="AC208" s="32" t="s">
        <v>39</v>
      </c>
      <c r="AD208" s="32" t="s">
        <v>39</v>
      </c>
      <c r="AE208" s="33" t="s">
        <v>39</v>
      </c>
      <c r="AF208" s="33" t="s">
        <v>39</v>
      </c>
      <c r="AG208" s="33" t="s">
        <v>39</v>
      </c>
      <c r="AH208" s="33" t="s">
        <v>39</v>
      </c>
      <c r="AI208" s="33" t="s">
        <v>39</v>
      </c>
      <c r="AJ208" s="34" t="s">
        <v>39</v>
      </c>
    </row>
    <row r="209" spans="1:36" ht="51" customHeight="1" x14ac:dyDescent="0.25">
      <c r="A209" s="25">
        <v>2021</v>
      </c>
      <c r="B209" s="26">
        <v>15023</v>
      </c>
      <c r="C209" s="27" t="s">
        <v>291</v>
      </c>
      <c r="D209" s="27" t="s">
        <v>79</v>
      </c>
      <c r="E209" s="27" t="s">
        <v>80</v>
      </c>
      <c r="F209" s="28">
        <v>7107</v>
      </c>
      <c r="G209" s="28">
        <v>142</v>
      </c>
      <c r="H209" s="28" t="s">
        <v>39</v>
      </c>
      <c r="I209" s="28" t="s">
        <v>39</v>
      </c>
      <c r="J209" s="28">
        <v>7249</v>
      </c>
      <c r="K209" s="29" t="s">
        <v>39</v>
      </c>
      <c r="L209" s="29" t="s">
        <v>39</v>
      </c>
      <c r="M209" s="29" t="s">
        <v>39</v>
      </c>
      <c r="N209" s="29" t="s">
        <v>39</v>
      </c>
      <c r="O209" s="29" t="s">
        <v>39</v>
      </c>
      <c r="P209" s="30">
        <v>5.51</v>
      </c>
      <c r="Q209" s="30">
        <v>0.28000000000000003</v>
      </c>
      <c r="R209" s="30" t="s">
        <v>39</v>
      </c>
      <c r="S209" s="30" t="s">
        <v>39</v>
      </c>
      <c r="T209" s="30">
        <v>5.79</v>
      </c>
      <c r="U209" s="31">
        <v>5.51</v>
      </c>
      <c r="V209" s="31">
        <v>0.28000000000000003</v>
      </c>
      <c r="W209" s="31" t="s">
        <v>39</v>
      </c>
      <c r="X209" s="31" t="s">
        <v>39</v>
      </c>
      <c r="Y209" s="31">
        <v>5.79</v>
      </c>
      <c r="Z209" s="32">
        <v>128.386</v>
      </c>
      <c r="AA209" s="32">
        <v>2.0179999999999998</v>
      </c>
      <c r="AB209" s="32" t="s">
        <v>39</v>
      </c>
      <c r="AC209" s="32" t="s">
        <v>39</v>
      </c>
      <c r="AD209" s="32">
        <v>130.404</v>
      </c>
      <c r="AE209" s="33">
        <v>159.32</v>
      </c>
      <c r="AF209" s="33">
        <v>2.64</v>
      </c>
      <c r="AG209" s="33" t="s">
        <v>39</v>
      </c>
      <c r="AH209" s="33" t="s">
        <v>39</v>
      </c>
      <c r="AI209" s="33">
        <v>161.96</v>
      </c>
      <c r="AJ209" s="34" t="s">
        <v>39</v>
      </c>
    </row>
    <row r="210" spans="1:36" ht="51" customHeight="1" x14ac:dyDescent="0.25">
      <c r="A210" s="25">
        <v>2021</v>
      </c>
      <c r="B210" s="26">
        <v>15248</v>
      </c>
      <c r="C210" s="27" t="s">
        <v>292</v>
      </c>
      <c r="D210" s="27" t="s">
        <v>193</v>
      </c>
      <c r="E210" s="27" t="s">
        <v>293</v>
      </c>
      <c r="F210" s="28">
        <v>156680</v>
      </c>
      <c r="G210" s="28">
        <v>805</v>
      </c>
      <c r="H210" s="28" t="s">
        <v>39</v>
      </c>
      <c r="I210" s="28" t="s">
        <v>39</v>
      </c>
      <c r="J210" s="28">
        <v>157485</v>
      </c>
      <c r="K210" s="29" t="s">
        <v>39</v>
      </c>
      <c r="L210" s="29" t="s">
        <v>39</v>
      </c>
      <c r="M210" s="29" t="s">
        <v>39</v>
      </c>
      <c r="N210" s="29" t="s">
        <v>39</v>
      </c>
      <c r="O210" s="29" t="s">
        <v>39</v>
      </c>
      <c r="P210" s="30">
        <v>72.900000000000006</v>
      </c>
      <c r="Q210" s="30">
        <v>62.12</v>
      </c>
      <c r="R210" s="30" t="s">
        <v>39</v>
      </c>
      <c r="S210" s="30" t="s">
        <v>39</v>
      </c>
      <c r="T210" s="30">
        <v>135.02000000000001</v>
      </c>
      <c r="U210" s="31">
        <v>29.76</v>
      </c>
      <c r="V210" s="31">
        <v>16.899999999999999</v>
      </c>
      <c r="W210" s="31" t="s">
        <v>39</v>
      </c>
      <c r="X210" s="31" t="s">
        <v>39</v>
      </c>
      <c r="Y210" s="31">
        <v>46.66</v>
      </c>
      <c r="Z210" s="32">
        <v>2061</v>
      </c>
      <c r="AA210" s="32">
        <v>1224</v>
      </c>
      <c r="AB210" s="32" t="s">
        <v>39</v>
      </c>
      <c r="AC210" s="32" t="s">
        <v>39</v>
      </c>
      <c r="AD210" s="32">
        <v>3285</v>
      </c>
      <c r="AE210" s="33">
        <v>2407</v>
      </c>
      <c r="AF210" s="33">
        <v>4698</v>
      </c>
      <c r="AG210" s="33" t="s">
        <v>39</v>
      </c>
      <c r="AH210" s="33" t="s">
        <v>39</v>
      </c>
      <c r="AI210" s="33">
        <v>7105</v>
      </c>
      <c r="AJ210" s="34" t="s">
        <v>39</v>
      </c>
    </row>
    <row r="211" spans="1:36" ht="51" customHeight="1" x14ac:dyDescent="0.25">
      <c r="A211" s="25">
        <v>2021</v>
      </c>
      <c r="B211" s="26">
        <v>15270</v>
      </c>
      <c r="C211" s="27" t="s">
        <v>294</v>
      </c>
      <c r="D211" s="27" t="s">
        <v>295</v>
      </c>
      <c r="E211" s="27" t="s">
        <v>52</v>
      </c>
      <c r="F211" s="28">
        <v>25530</v>
      </c>
      <c r="G211" s="28" t="s">
        <v>39</v>
      </c>
      <c r="H211" s="28" t="s">
        <v>39</v>
      </c>
      <c r="I211" s="28" t="s">
        <v>39</v>
      </c>
      <c r="J211" s="28">
        <v>25530</v>
      </c>
      <c r="K211" s="29">
        <v>107</v>
      </c>
      <c r="L211" s="29" t="s">
        <v>39</v>
      </c>
      <c r="M211" s="29" t="s">
        <v>39</v>
      </c>
      <c r="N211" s="29" t="s">
        <v>39</v>
      </c>
      <c r="O211" s="29">
        <v>107</v>
      </c>
      <c r="P211" s="30">
        <v>20.9</v>
      </c>
      <c r="Q211" s="30" t="s">
        <v>39</v>
      </c>
      <c r="R211" s="30" t="s">
        <v>39</v>
      </c>
      <c r="S211" s="30" t="s">
        <v>39</v>
      </c>
      <c r="T211" s="30">
        <v>20.9</v>
      </c>
      <c r="U211" s="31">
        <v>20.9</v>
      </c>
      <c r="V211" s="31" t="s">
        <v>39</v>
      </c>
      <c r="W211" s="31" t="s">
        <v>39</v>
      </c>
      <c r="X211" s="31" t="s">
        <v>39</v>
      </c>
      <c r="Y211" s="31">
        <v>20.9</v>
      </c>
      <c r="Z211" s="32">
        <v>920</v>
      </c>
      <c r="AA211" s="32" t="s">
        <v>39</v>
      </c>
      <c r="AB211" s="32" t="s">
        <v>39</v>
      </c>
      <c r="AC211" s="32" t="s">
        <v>39</v>
      </c>
      <c r="AD211" s="32">
        <v>920</v>
      </c>
      <c r="AE211" s="33">
        <v>916</v>
      </c>
      <c r="AF211" s="33" t="s">
        <v>39</v>
      </c>
      <c r="AG211" s="33" t="s">
        <v>39</v>
      </c>
      <c r="AH211" s="33" t="s">
        <v>39</v>
      </c>
      <c r="AI211" s="33">
        <v>916</v>
      </c>
      <c r="AJ211" s="34" t="s">
        <v>39</v>
      </c>
    </row>
    <row r="212" spans="1:36" ht="51" customHeight="1" x14ac:dyDescent="0.25">
      <c r="A212" s="25">
        <v>2021</v>
      </c>
      <c r="B212" s="26">
        <v>15270</v>
      </c>
      <c r="C212" s="27" t="s">
        <v>294</v>
      </c>
      <c r="D212" s="27" t="s">
        <v>70</v>
      </c>
      <c r="E212" s="27" t="s">
        <v>52</v>
      </c>
      <c r="F212" s="28">
        <v>473273</v>
      </c>
      <c r="G212" s="28">
        <v>5943</v>
      </c>
      <c r="H212" s="28" t="s">
        <v>39</v>
      </c>
      <c r="I212" s="28" t="s">
        <v>39</v>
      </c>
      <c r="J212" s="28">
        <v>479216</v>
      </c>
      <c r="K212" s="29">
        <v>3448</v>
      </c>
      <c r="L212" s="29">
        <v>73</v>
      </c>
      <c r="M212" s="29" t="s">
        <v>39</v>
      </c>
      <c r="N212" s="29" t="s">
        <v>39</v>
      </c>
      <c r="O212" s="29">
        <v>3521</v>
      </c>
      <c r="P212" s="30">
        <v>337.2</v>
      </c>
      <c r="Q212" s="30">
        <v>11.4</v>
      </c>
      <c r="R212" s="30" t="s">
        <v>39</v>
      </c>
      <c r="S212" s="30" t="s">
        <v>39</v>
      </c>
      <c r="T212" s="30">
        <v>348.6</v>
      </c>
      <c r="U212" s="31">
        <v>337.2</v>
      </c>
      <c r="V212" s="31">
        <v>11.4</v>
      </c>
      <c r="W212" s="31" t="s">
        <v>39</v>
      </c>
      <c r="X212" s="31" t="s">
        <v>39</v>
      </c>
      <c r="Y212" s="31">
        <v>348.6</v>
      </c>
      <c r="Z212" s="32">
        <v>13151</v>
      </c>
      <c r="AA212" s="32">
        <v>468</v>
      </c>
      <c r="AB212" s="32" t="s">
        <v>39</v>
      </c>
      <c r="AC212" s="32" t="s">
        <v>39</v>
      </c>
      <c r="AD212" s="32">
        <v>13619</v>
      </c>
      <c r="AE212" s="33">
        <v>7548</v>
      </c>
      <c r="AF212" s="33">
        <v>383</v>
      </c>
      <c r="AG212" s="33" t="s">
        <v>39</v>
      </c>
      <c r="AH212" s="33" t="s">
        <v>39</v>
      </c>
      <c r="AI212" s="33">
        <v>7931</v>
      </c>
      <c r="AJ212" s="34" t="s">
        <v>39</v>
      </c>
    </row>
    <row r="213" spans="1:36" ht="51" customHeight="1" x14ac:dyDescent="0.25">
      <c r="A213" s="25">
        <v>2021</v>
      </c>
      <c r="B213" s="26">
        <v>15344</v>
      </c>
      <c r="C213" s="27" t="s">
        <v>296</v>
      </c>
      <c r="D213" s="27" t="s">
        <v>72</v>
      </c>
      <c r="E213" s="27" t="s">
        <v>49</v>
      </c>
      <c r="F213" s="28">
        <v>7305</v>
      </c>
      <c r="G213" s="28">
        <v>96</v>
      </c>
      <c r="H213" s="28">
        <v>0</v>
      </c>
      <c r="I213" s="28">
        <v>0</v>
      </c>
      <c r="J213" s="28">
        <v>7401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  <c r="P213" s="30">
        <v>35.841999999999999</v>
      </c>
      <c r="Q213" s="30">
        <v>0.77300000000000002</v>
      </c>
      <c r="R213" s="30">
        <v>0</v>
      </c>
      <c r="S213" s="30">
        <v>0</v>
      </c>
      <c r="T213" s="30">
        <v>36.615000000000002</v>
      </c>
      <c r="U213" s="31">
        <v>8.2609999999999992</v>
      </c>
      <c r="V213" s="31">
        <v>0.17799999999999999</v>
      </c>
      <c r="W213" s="31">
        <v>0</v>
      </c>
      <c r="X213" s="31">
        <v>0</v>
      </c>
      <c r="Y213" s="31">
        <v>8.4390000000000001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3">
        <v>30</v>
      </c>
      <c r="AF213" s="33">
        <v>0.4</v>
      </c>
      <c r="AG213" s="33">
        <v>0</v>
      </c>
      <c r="AH213" s="33">
        <v>0</v>
      </c>
      <c r="AI213" s="33">
        <v>30.4</v>
      </c>
      <c r="AJ213" s="34">
        <v>74</v>
      </c>
    </row>
    <row r="214" spans="1:36" ht="51" customHeight="1" x14ac:dyDescent="0.25">
      <c r="A214" s="25">
        <v>2021</v>
      </c>
      <c r="B214" s="26">
        <v>15466</v>
      </c>
      <c r="C214" s="27" t="s">
        <v>297</v>
      </c>
      <c r="D214" s="27" t="s">
        <v>107</v>
      </c>
      <c r="E214" s="27" t="s">
        <v>108</v>
      </c>
      <c r="F214" s="28">
        <v>212033</v>
      </c>
      <c r="G214" s="28">
        <v>467</v>
      </c>
      <c r="H214" s="28">
        <v>69</v>
      </c>
      <c r="I214" s="28" t="s">
        <v>39</v>
      </c>
      <c r="J214" s="28">
        <v>212569</v>
      </c>
      <c r="K214" s="29">
        <v>2205.9839999999999</v>
      </c>
      <c r="L214" s="29">
        <v>188.21600000000001</v>
      </c>
      <c r="M214" s="29">
        <v>0</v>
      </c>
      <c r="N214" s="29" t="s">
        <v>39</v>
      </c>
      <c r="O214" s="29">
        <v>2394.1999999999998</v>
      </c>
      <c r="P214" s="30">
        <v>244.71700000000001</v>
      </c>
      <c r="Q214" s="30">
        <v>56.366</v>
      </c>
      <c r="R214" s="30">
        <v>179.66</v>
      </c>
      <c r="S214" s="30" t="s">
        <v>39</v>
      </c>
      <c r="T214" s="30">
        <v>480.74299999999999</v>
      </c>
      <c r="U214" s="31">
        <v>1</v>
      </c>
      <c r="V214" s="31">
        <v>25.966999999999999</v>
      </c>
      <c r="W214" s="31">
        <v>179.66</v>
      </c>
      <c r="X214" s="31" t="s">
        <v>39</v>
      </c>
      <c r="Y214" s="31">
        <v>206.62700000000001</v>
      </c>
      <c r="Z214" s="32">
        <v>9016.9179999999997</v>
      </c>
      <c r="AA214" s="32">
        <v>313.70400000000001</v>
      </c>
      <c r="AB214" s="32">
        <v>24944.218000000001</v>
      </c>
      <c r="AC214" s="32" t="s">
        <v>39</v>
      </c>
      <c r="AD214" s="32">
        <v>34274.839999999997</v>
      </c>
      <c r="AE214" s="33">
        <v>4669.402</v>
      </c>
      <c r="AF214" s="33">
        <v>644.48699999999997</v>
      </c>
      <c r="AG214" s="33">
        <v>536.66700000000003</v>
      </c>
      <c r="AH214" s="33" t="s">
        <v>39</v>
      </c>
      <c r="AI214" s="33">
        <v>5850.5559999999996</v>
      </c>
      <c r="AJ214" s="34" t="s">
        <v>39</v>
      </c>
    </row>
    <row r="215" spans="1:36" ht="51" customHeight="1" x14ac:dyDescent="0.25">
      <c r="A215" s="25">
        <v>2021</v>
      </c>
      <c r="B215" s="26">
        <v>15470</v>
      </c>
      <c r="C215" s="27" t="s">
        <v>298</v>
      </c>
      <c r="D215" s="27" t="s">
        <v>179</v>
      </c>
      <c r="E215" s="27" t="s">
        <v>49</v>
      </c>
      <c r="F215" s="28">
        <v>63838</v>
      </c>
      <c r="G215" s="28">
        <v>2098</v>
      </c>
      <c r="H215" s="28">
        <v>75</v>
      </c>
      <c r="I215" s="28">
        <v>0</v>
      </c>
      <c r="J215" s="28">
        <v>66011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  <c r="P215" s="30">
        <v>69</v>
      </c>
      <c r="Q215" s="30">
        <v>39</v>
      </c>
      <c r="R215" s="30">
        <v>453</v>
      </c>
      <c r="S215" s="30">
        <v>0</v>
      </c>
      <c r="T215" s="30">
        <v>561</v>
      </c>
      <c r="U215" s="31">
        <v>0</v>
      </c>
      <c r="V215" s="31">
        <v>1</v>
      </c>
      <c r="W215" s="31">
        <v>17</v>
      </c>
      <c r="X215" s="31">
        <v>0</v>
      </c>
      <c r="Y215" s="31">
        <v>18</v>
      </c>
      <c r="Z215" s="32">
        <v>840</v>
      </c>
      <c r="AA215" s="32">
        <v>211</v>
      </c>
      <c r="AB215" s="32">
        <v>0</v>
      </c>
      <c r="AC215" s="32">
        <v>0</v>
      </c>
      <c r="AD215" s="32">
        <v>1051</v>
      </c>
      <c r="AE215" s="33">
        <v>1916</v>
      </c>
      <c r="AF215" s="33">
        <v>940</v>
      </c>
      <c r="AG215" s="33">
        <v>0</v>
      </c>
      <c r="AH215" s="33">
        <v>0</v>
      </c>
      <c r="AI215" s="33">
        <v>2856</v>
      </c>
      <c r="AJ215" s="34" t="s">
        <v>39</v>
      </c>
    </row>
    <row r="216" spans="1:36" ht="38.450000000000003" customHeight="1" x14ac:dyDescent="0.25">
      <c r="A216" s="25">
        <v>2021</v>
      </c>
      <c r="B216" s="26">
        <v>15472</v>
      </c>
      <c r="C216" s="27" t="s">
        <v>299</v>
      </c>
      <c r="D216" s="27" t="s">
        <v>255</v>
      </c>
      <c r="E216" s="27" t="s">
        <v>113</v>
      </c>
      <c r="F216" s="28">
        <v>1422</v>
      </c>
      <c r="G216" s="28">
        <v>37</v>
      </c>
      <c r="H216" s="28" t="s">
        <v>39</v>
      </c>
      <c r="I216" s="28" t="s">
        <v>39</v>
      </c>
      <c r="J216" s="28">
        <v>1459</v>
      </c>
      <c r="K216" s="29">
        <v>1.5580000000000001</v>
      </c>
      <c r="L216" s="29" t="s">
        <v>39</v>
      </c>
      <c r="M216" s="29" t="s">
        <v>39</v>
      </c>
      <c r="N216" s="29" t="s">
        <v>39</v>
      </c>
      <c r="O216" s="29">
        <v>1.5580000000000001</v>
      </c>
      <c r="P216" s="30" t="s">
        <v>39</v>
      </c>
      <c r="Q216" s="30" t="s">
        <v>39</v>
      </c>
      <c r="R216" s="30" t="s">
        <v>39</v>
      </c>
      <c r="S216" s="30" t="s">
        <v>39</v>
      </c>
      <c r="T216" s="30" t="s">
        <v>39</v>
      </c>
      <c r="U216" s="31">
        <v>0.77800000000000002</v>
      </c>
      <c r="V216" s="31">
        <v>7.5819999999999999</v>
      </c>
      <c r="W216" s="31" t="s">
        <v>39</v>
      </c>
      <c r="X216" s="31" t="s">
        <v>39</v>
      </c>
      <c r="Y216" s="31">
        <v>8.36</v>
      </c>
      <c r="Z216" s="32">
        <v>43.887999999999998</v>
      </c>
      <c r="AA216" s="32">
        <v>45.706000000000003</v>
      </c>
      <c r="AB216" s="32" t="s">
        <v>39</v>
      </c>
      <c r="AC216" s="32" t="s">
        <v>39</v>
      </c>
      <c r="AD216" s="32">
        <v>89.593999999999994</v>
      </c>
      <c r="AE216" s="33">
        <v>342.28500000000003</v>
      </c>
      <c r="AF216" s="33">
        <v>126.577</v>
      </c>
      <c r="AG216" s="33" t="s">
        <v>39</v>
      </c>
      <c r="AH216" s="33" t="s">
        <v>39</v>
      </c>
      <c r="AI216" s="33">
        <v>468.86200000000002</v>
      </c>
      <c r="AJ216" s="34" t="s">
        <v>39</v>
      </c>
    </row>
    <row r="217" spans="1:36" ht="38.450000000000003" customHeight="1" x14ac:dyDescent="0.25">
      <c r="A217" s="25">
        <v>2021</v>
      </c>
      <c r="B217" s="26">
        <v>15473</v>
      </c>
      <c r="C217" s="27" t="s">
        <v>300</v>
      </c>
      <c r="D217" s="27" t="s">
        <v>144</v>
      </c>
      <c r="E217" s="27" t="s">
        <v>301</v>
      </c>
      <c r="F217" s="28">
        <v>47333</v>
      </c>
      <c r="G217" s="28">
        <v>4101</v>
      </c>
      <c r="H217" s="28">
        <v>4269</v>
      </c>
      <c r="I217" s="28">
        <v>0</v>
      </c>
      <c r="J217" s="28">
        <v>55703</v>
      </c>
      <c r="K217" s="29">
        <v>106</v>
      </c>
      <c r="L217" s="29">
        <v>44.59</v>
      </c>
      <c r="M217" s="29">
        <v>46.41</v>
      </c>
      <c r="N217" s="29">
        <v>0</v>
      </c>
      <c r="O217" s="29">
        <v>197</v>
      </c>
      <c r="P217" s="30">
        <v>34.26</v>
      </c>
      <c r="Q217" s="30">
        <v>9.17</v>
      </c>
      <c r="R217" s="30">
        <v>42.176000000000002</v>
      </c>
      <c r="S217" s="30">
        <v>0</v>
      </c>
      <c r="T217" s="30">
        <v>85.605999999999995</v>
      </c>
      <c r="U217" s="31">
        <v>30.8</v>
      </c>
      <c r="V217" s="31">
        <v>3.3</v>
      </c>
      <c r="W217" s="31">
        <v>17.5</v>
      </c>
      <c r="X217" s="31">
        <v>0</v>
      </c>
      <c r="Y217" s="31">
        <v>51.6</v>
      </c>
      <c r="Z217" s="32">
        <v>27</v>
      </c>
      <c r="AA217" s="32">
        <v>2</v>
      </c>
      <c r="AB217" s="32">
        <v>2</v>
      </c>
      <c r="AC217" s="32">
        <v>0</v>
      </c>
      <c r="AD217" s="32">
        <v>31</v>
      </c>
      <c r="AE217" s="33">
        <v>3929</v>
      </c>
      <c r="AF217" s="33">
        <v>1577</v>
      </c>
      <c r="AG217" s="33">
        <v>1641</v>
      </c>
      <c r="AH217" s="33">
        <v>0</v>
      </c>
      <c r="AI217" s="33">
        <v>7147</v>
      </c>
      <c r="AJ217" s="34" t="s">
        <v>39</v>
      </c>
    </row>
    <row r="218" spans="1:36" ht="63.6" customHeight="1" x14ac:dyDescent="0.25">
      <c r="A218" s="25">
        <v>2021</v>
      </c>
      <c r="B218" s="26">
        <v>15474</v>
      </c>
      <c r="C218" s="27" t="s">
        <v>302</v>
      </c>
      <c r="D218" s="27" t="s">
        <v>169</v>
      </c>
      <c r="E218" s="27" t="s">
        <v>77</v>
      </c>
      <c r="F218" s="28">
        <v>23891</v>
      </c>
      <c r="G218" s="28">
        <v>1834</v>
      </c>
      <c r="H218" s="28">
        <v>0</v>
      </c>
      <c r="I218" s="28">
        <v>0</v>
      </c>
      <c r="J218" s="28">
        <v>25725</v>
      </c>
      <c r="K218" s="29">
        <v>1442</v>
      </c>
      <c r="L218" s="29">
        <v>1361</v>
      </c>
      <c r="M218" s="29">
        <v>0</v>
      </c>
      <c r="N218" s="29">
        <v>0</v>
      </c>
      <c r="O218" s="29">
        <v>2803</v>
      </c>
      <c r="P218" s="30">
        <v>16.100000000000001</v>
      </c>
      <c r="Q218" s="30">
        <v>45.6</v>
      </c>
      <c r="R218" s="30">
        <v>0</v>
      </c>
      <c r="S218" s="30">
        <v>0</v>
      </c>
      <c r="T218" s="30">
        <v>61.7</v>
      </c>
      <c r="U218" s="31">
        <v>10</v>
      </c>
      <c r="V218" s="31">
        <v>27.6</v>
      </c>
      <c r="W218" s="31">
        <v>0</v>
      </c>
      <c r="X218" s="31">
        <v>0</v>
      </c>
      <c r="Y218" s="31">
        <v>37.6</v>
      </c>
      <c r="Z218" s="32">
        <v>204</v>
      </c>
      <c r="AA218" s="32">
        <v>2439</v>
      </c>
      <c r="AB218" s="32">
        <v>0</v>
      </c>
      <c r="AC218" s="32">
        <v>0</v>
      </c>
      <c r="AD218" s="32">
        <v>2643</v>
      </c>
      <c r="AE218" s="33">
        <v>1399</v>
      </c>
      <c r="AF218" s="33">
        <v>375</v>
      </c>
      <c r="AG218" s="33">
        <v>0</v>
      </c>
      <c r="AH218" s="33">
        <v>0</v>
      </c>
      <c r="AI218" s="33">
        <v>1774</v>
      </c>
      <c r="AJ218" s="34">
        <v>0</v>
      </c>
    </row>
    <row r="219" spans="1:36" ht="51" customHeight="1" x14ac:dyDescent="0.25">
      <c r="A219" s="25">
        <v>2021</v>
      </c>
      <c r="B219" s="26">
        <v>15671</v>
      </c>
      <c r="C219" s="27" t="s">
        <v>303</v>
      </c>
      <c r="D219" s="27" t="s">
        <v>79</v>
      </c>
      <c r="E219" s="27" t="s">
        <v>86</v>
      </c>
      <c r="F219" s="28" t="s">
        <v>39</v>
      </c>
      <c r="G219" s="28">
        <v>240</v>
      </c>
      <c r="H219" s="28" t="s">
        <v>39</v>
      </c>
      <c r="I219" s="28" t="s">
        <v>39</v>
      </c>
      <c r="J219" s="28">
        <v>240</v>
      </c>
      <c r="K219" s="29" t="s">
        <v>39</v>
      </c>
      <c r="L219" s="29" t="s">
        <v>39</v>
      </c>
      <c r="M219" s="29" t="s">
        <v>39</v>
      </c>
      <c r="N219" s="29" t="s">
        <v>39</v>
      </c>
      <c r="O219" s="29" t="s">
        <v>39</v>
      </c>
      <c r="P219" s="30" t="s">
        <v>39</v>
      </c>
      <c r="Q219" s="30">
        <v>17.7</v>
      </c>
      <c r="R219" s="30" t="s">
        <v>39</v>
      </c>
      <c r="S219" s="30" t="s">
        <v>39</v>
      </c>
      <c r="T219" s="30">
        <v>17.7</v>
      </c>
      <c r="U219" s="31" t="s">
        <v>39</v>
      </c>
      <c r="V219" s="31">
        <v>8.9</v>
      </c>
      <c r="W219" s="31" t="s">
        <v>39</v>
      </c>
      <c r="X219" s="31" t="s">
        <v>39</v>
      </c>
      <c r="Y219" s="31">
        <v>8.9</v>
      </c>
      <c r="Z219" s="32" t="s">
        <v>39</v>
      </c>
      <c r="AA219" s="32">
        <v>462</v>
      </c>
      <c r="AB219" s="32" t="s">
        <v>39</v>
      </c>
      <c r="AC219" s="32" t="s">
        <v>39</v>
      </c>
      <c r="AD219" s="32">
        <v>462</v>
      </c>
      <c r="AE219" s="33" t="s">
        <v>39</v>
      </c>
      <c r="AF219" s="33" t="s">
        <v>39</v>
      </c>
      <c r="AG219" s="33" t="s">
        <v>39</v>
      </c>
      <c r="AH219" s="33" t="s">
        <v>39</v>
      </c>
      <c r="AI219" s="33" t="s">
        <v>39</v>
      </c>
      <c r="AJ219" s="34" t="s">
        <v>39</v>
      </c>
    </row>
    <row r="220" spans="1:36" ht="51" customHeight="1" x14ac:dyDescent="0.25">
      <c r="A220" s="25">
        <v>2021</v>
      </c>
      <c r="B220" s="26">
        <v>15700</v>
      </c>
      <c r="C220" s="27" t="s">
        <v>304</v>
      </c>
      <c r="D220" s="27" t="s">
        <v>54</v>
      </c>
      <c r="E220" s="27" t="s">
        <v>38</v>
      </c>
      <c r="F220" s="28" t="s">
        <v>39</v>
      </c>
      <c r="G220" s="28" t="s">
        <v>39</v>
      </c>
      <c r="H220" s="28">
        <v>2</v>
      </c>
      <c r="I220" s="28" t="s">
        <v>39</v>
      </c>
      <c r="J220" s="28">
        <v>2</v>
      </c>
      <c r="K220" s="29" t="s">
        <v>39</v>
      </c>
      <c r="L220" s="29" t="s">
        <v>39</v>
      </c>
      <c r="M220" s="29">
        <v>0</v>
      </c>
      <c r="N220" s="29" t="s">
        <v>39</v>
      </c>
      <c r="O220" s="29">
        <v>0</v>
      </c>
      <c r="P220" s="30" t="s">
        <v>39</v>
      </c>
      <c r="Q220" s="30" t="s">
        <v>39</v>
      </c>
      <c r="R220" s="30">
        <v>3</v>
      </c>
      <c r="S220" s="30" t="s">
        <v>39</v>
      </c>
      <c r="T220" s="30">
        <v>3</v>
      </c>
      <c r="U220" s="31" t="s">
        <v>39</v>
      </c>
      <c r="V220" s="31" t="s">
        <v>39</v>
      </c>
      <c r="W220" s="31">
        <v>1.25</v>
      </c>
      <c r="X220" s="31" t="s">
        <v>39</v>
      </c>
      <c r="Y220" s="31">
        <v>1.25</v>
      </c>
      <c r="Z220" s="32" t="s">
        <v>39</v>
      </c>
      <c r="AA220" s="32" t="s">
        <v>39</v>
      </c>
      <c r="AB220" s="32" t="s">
        <v>39</v>
      </c>
      <c r="AC220" s="32" t="s">
        <v>39</v>
      </c>
      <c r="AD220" s="32" t="s">
        <v>39</v>
      </c>
      <c r="AE220" s="33" t="s">
        <v>39</v>
      </c>
      <c r="AF220" s="33" t="s">
        <v>39</v>
      </c>
      <c r="AG220" s="33" t="s">
        <v>39</v>
      </c>
      <c r="AH220" s="33" t="s">
        <v>39</v>
      </c>
      <c r="AI220" s="33" t="s">
        <v>39</v>
      </c>
      <c r="AJ220" s="34" t="s">
        <v>39</v>
      </c>
    </row>
    <row r="221" spans="1:36" ht="38.450000000000003" customHeight="1" x14ac:dyDescent="0.25">
      <c r="A221" s="25">
        <v>2021</v>
      </c>
      <c r="B221" s="26">
        <v>15748</v>
      </c>
      <c r="C221" s="27" t="s">
        <v>305</v>
      </c>
      <c r="D221" s="27" t="s">
        <v>139</v>
      </c>
      <c r="E221" s="27" t="s">
        <v>113</v>
      </c>
      <c r="F221" s="28" t="s">
        <v>39</v>
      </c>
      <c r="G221" s="28">
        <v>14</v>
      </c>
      <c r="H221" s="28" t="s">
        <v>39</v>
      </c>
      <c r="I221" s="28" t="s">
        <v>39</v>
      </c>
      <c r="J221" s="28">
        <v>14</v>
      </c>
      <c r="K221" s="29" t="s">
        <v>39</v>
      </c>
      <c r="L221" s="29" t="s">
        <v>39</v>
      </c>
      <c r="M221" s="29" t="s">
        <v>39</v>
      </c>
      <c r="N221" s="29" t="s">
        <v>39</v>
      </c>
      <c r="O221" s="29" t="s">
        <v>39</v>
      </c>
      <c r="P221" s="30" t="s">
        <v>39</v>
      </c>
      <c r="Q221" s="30">
        <v>3.4</v>
      </c>
      <c r="R221" s="30" t="s">
        <v>39</v>
      </c>
      <c r="S221" s="30" t="s">
        <v>39</v>
      </c>
      <c r="T221" s="30">
        <v>3.4</v>
      </c>
      <c r="U221" s="31" t="s">
        <v>39</v>
      </c>
      <c r="V221" s="31">
        <v>0.3</v>
      </c>
      <c r="W221" s="31" t="s">
        <v>39</v>
      </c>
      <c r="X221" s="31" t="s">
        <v>39</v>
      </c>
      <c r="Y221" s="31">
        <v>0.3</v>
      </c>
      <c r="Z221" s="32" t="s">
        <v>39</v>
      </c>
      <c r="AA221" s="32">
        <v>7.5949999999999998</v>
      </c>
      <c r="AB221" s="32" t="s">
        <v>39</v>
      </c>
      <c r="AC221" s="32" t="s">
        <v>39</v>
      </c>
      <c r="AD221" s="32">
        <v>7.5949999999999998</v>
      </c>
      <c r="AE221" s="33" t="s">
        <v>39</v>
      </c>
      <c r="AF221" s="33">
        <v>25</v>
      </c>
      <c r="AG221" s="33" t="s">
        <v>39</v>
      </c>
      <c r="AH221" s="33" t="s">
        <v>39</v>
      </c>
      <c r="AI221" s="33">
        <v>25</v>
      </c>
      <c r="AJ221" s="34" t="s">
        <v>39</v>
      </c>
    </row>
    <row r="222" spans="1:36" ht="51" customHeight="1" x14ac:dyDescent="0.25">
      <c r="A222" s="25">
        <v>2021</v>
      </c>
      <c r="B222" s="26">
        <v>16060</v>
      </c>
      <c r="C222" s="27" t="s">
        <v>306</v>
      </c>
      <c r="D222" s="27" t="s">
        <v>72</v>
      </c>
      <c r="E222" s="27" t="s">
        <v>49</v>
      </c>
      <c r="F222" s="28">
        <v>6106</v>
      </c>
      <c r="G222" s="28">
        <v>173</v>
      </c>
      <c r="H222" s="28">
        <v>0</v>
      </c>
      <c r="I222" s="28">
        <v>0</v>
      </c>
      <c r="J222" s="28">
        <v>6279</v>
      </c>
      <c r="K222" s="29">
        <v>0</v>
      </c>
      <c r="L222" s="29">
        <v>0</v>
      </c>
      <c r="M222" s="29">
        <v>0</v>
      </c>
      <c r="N222" s="29">
        <v>0</v>
      </c>
      <c r="O222" s="29">
        <v>0</v>
      </c>
      <c r="P222" s="30">
        <v>6.3710000000000004</v>
      </c>
      <c r="Q222" s="30">
        <v>4.0869999999999997</v>
      </c>
      <c r="R222" s="30">
        <v>0</v>
      </c>
      <c r="S222" s="30">
        <v>0</v>
      </c>
      <c r="T222" s="30">
        <v>10.458</v>
      </c>
      <c r="U222" s="31">
        <v>2.8559999999999999</v>
      </c>
      <c r="V222" s="31">
        <v>1.8320000000000001</v>
      </c>
      <c r="W222" s="31">
        <v>0</v>
      </c>
      <c r="X222" s="31">
        <v>0</v>
      </c>
      <c r="Y222" s="31">
        <v>4.6879999999999997</v>
      </c>
      <c r="Z222" s="32">
        <v>1129</v>
      </c>
      <c r="AA222" s="32">
        <v>32</v>
      </c>
      <c r="AB222" s="32">
        <v>0</v>
      </c>
      <c r="AC222" s="32">
        <v>0</v>
      </c>
      <c r="AD222" s="32">
        <v>1161</v>
      </c>
      <c r="AE222" s="33">
        <v>45</v>
      </c>
      <c r="AF222" s="33">
        <v>1</v>
      </c>
      <c r="AG222" s="33">
        <v>0</v>
      </c>
      <c r="AH222" s="33">
        <v>0</v>
      </c>
      <c r="AI222" s="33">
        <v>46</v>
      </c>
      <c r="AJ222" s="34" t="s">
        <v>39</v>
      </c>
    </row>
    <row r="223" spans="1:36" ht="51" customHeight="1" x14ac:dyDescent="0.25">
      <c r="A223" s="25">
        <v>2021</v>
      </c>
      <c r="B223" s="26">
        <v>16101</v>
      </c>
      <c r="C223" s="27" t="s">
        <v>307</v>
      </c>
      <c r="D223" s="27" t="s">
        <v>79</v>
      </c>
      <c r="E223" s="27" t="s">
        <v>52</v>
      </c>
      <c r="F223" s="28">
        <v>2588</v>
      </c>
      <c r="G223" s="28" t="s">
        <v>39</v>
      </c>
      <c r="H223" s="28" t="s">
        <v>39</v>
      </c>
      <c r="I223" s="28" t="s">
        <v>39</v>
      </c>
      <c r="J223" s="28">
        <v>2588</v>
      </c>
      <c r="K223" s="29">
        <v>0</v>
      </c>
      <c r="L223" s="29" t="s">
        <v>39</v>
      </c>
      <c r="M223" s="29" t="s">
        <v>39</v>
      </c>
      <c r="N223" s="29" t="s">
        <v>39</v>
      </c>
      <c r="O223" s="29">
        <v>0</v>
      </c>
      <c r="P223" s="30">
        <v>1</v>
      </c>
      <c r="Q223" s="30" t="s">
        <v>39</v>
      </c>
      <c r="R223" s="30" t="s">
        <v>39</v>
      </c>
      <c r="S223" s="30" t="s">
        <v>39</v>
      </c>
      <c r="T223" s="30">
        <v>1</v>
      </c>
      <c r="U223" s="31">
        <v>0</v>
      </c>
      <c r="V223" s="31" t="s">
        <v>39</v>
      </c>
      <c r="W223" s="31" t="s">
        <v>39</v>
      </c>
      <c r="X223" s="31" t="s">
        <v>39</v>
      </c>
      <c r="Y223" s="31">
        <v>0</v>
      </c>
      <c r="Z223" s="32">
        <v>232</v>
      </c>
      <c r="AA223" s="32" t="s">
        <v>39</v>
      </c>
      <c r="AB223" s="32" t="s">
        <v>39</v>
      </c>
      <c r="AC223" s="32" t="s">
        <v>39</v>
      </c>
      <c r="AD223" s="32">
        <v>232</v>
      </c>
      <c r="AE223" s="33">
        <v>30</v>
      </c>
      <c r="AF223" s="33" t="s">
        <v>39</v>
      </c>
      <c r="AG223" s="33" t="s">
        <v>39</v>
      </c>
      <c r="AH223" s="33" t="s">
        <v>39</v>
      </c>
      <c r="AI223" s="33">
        <v>30</v>
      </c>
      <c r="AJ223" s="34">
        <v>22</v>
      </c>
    </row>
    <row r="224" spans="1:36" ht="38.450000000000003" customHeight="1" x14ac:dyDescent="0.25">
      <c r="A224" s="25">
        <v>2021</v>
      </c>
      <c r="B224" s="26">
        <v>16181</v>
      </c>
      <c r="C224" s="27" t="s">
        <v>308</v>
      </c>
      <c r="D224" s="27" t="s">
        <v>48</v>
      </c>
      <c r="E224" s="27" t="s">
        <v>49</v>
      </c>
      <c r="F224" s="28">
        <v>8213</v>
      </c>
      <c r="G224" s="28">
        <v>113</v>
      </c>
      <c r="H224" s="28">
        <v>1</v>
      </c>
      <c r="I224" s="28" t="s">
        <v>39</v>
      </c>
      <c r="J224" s="28">
        <v>8327</v>
      </c>
      <c r="K224" s="29">
        <v>46</v>
      </c>
      <c r="L224" s="29">
        <v>153</v>
      </c>
      <c r="M224" s="29">
        <v>18</v>
      </c>
      <c r="N224" s="29" t="s">
        <v>39</v>
      </c>
      <c r="O224" s="29">
        <v>217</v>
      </c>
      <c r="P224" s="30">
        <v>2.7</v>
      </c>
      <c r="Q224" s="30">
        <v>3.6</v>
      </c>
      <c r="R224" s="30">
        <v>1.8</v>
      </c>
      <c r="S224" s="30" t="s">
        <v>39</v>
      </c>
      <c r="T224" s="30">
        <v>8.1</v>
      </c>
      <c r="U224" s="31" t="s">
        <v>39</v>
      </c>
      <c r="V224" s="31" t="s">
        <v>39</v>
      </c>
      <c r="W224" s="31" t="s">
        <v>39</v>
      </c>
      <c r="X224" s="31" t="s">
        <v>39</v>
      </c>
      <c r="Y224" s="31" t="s">
        <v>39</v>
      </c>
      <c r="Z224" s="32">
        <v>135</v>
      </c>
      <c r="AA224" s="32">
        <v>149</v>
      </c>
      <c r="AB224" s="32">
        <v>511</v>
      </c>
      <c r="AC224" s="32" t="s">
        <v>39</v>
      </c>
      <c r="AD224" s="32">
        <v>795</v>
      </c>
      <c r="AE224" s="33">
        <v>33</v>
      </c>
      <c r="AF224" s="33">
        <v>74</v>
      </c>
      <c r="AG224" s="33">
        <v>25</v>
      </c>
      <c r="AH224" s="33" t="s">
        <v>39</v>
      </c>
      <c r="AI224" s="33">
        <v>132</v>
      </c>
      <c r="AJ224" s="34" t="s">
        <v>39</v>
      </c>
    </row>
    <row r="225" spans="1:36" ht="51" customHeight="1" x14ac:dyDescent="0.25">
      <c r="A225" s="25">
        <v>2021</v>
      </c>
      <c r="B225" s="26">
        <v>16183</v>
      </c>
      <c r="C225" s="27" t="s">
        <v>309</v>
      </c>
      <c r="D225" s="27" t="s">
        <v>93</v>
      </c>
      <c r="E225" s="27" t="s">
        <v>94</v>
      </c>
      <c r="F225" s="28">
        <v>9216</v>
      </c>
      <c r="G225" s="28">
        <v>41</v>
      </c>
      <c r="H225" s="28">
        <v>2</v>
      </c>
      <c r="I225" s="28" t="s">
        <v>39</v>
      </c>
      <c r="J225" s="28">
        <v>9259</v>
      </c>
      <c r="K225" s="29">
        <v>270</v>
      </c>
      <c r="L225" s="29">
        <v>128</v>
      </c>
      <c r="M225" s="29">
        <v>0</v>
      </c>
      <c r="N225" s="29" t="s">
        <v>39</v>
      </c>
      <c r="O225" s="29">
        <v>398</v>
      </c>
      <c r="P225" s="30">
        <v>10</v>
      </c>
      <c r="Q225" s="30">
        <v>3.7</v>
      </c>
      <c r="R225" s="30">
        <v>0.1</v>
      </c>
      <c r="S225" s="30" t="s">
        <v>39</v>
      </c>
      <c r="T225" s="30">
        <v>13.8</v>
      </c>
      <c r="U225" s="31">
        <v>10</v>
      </c>
      <c r="V225" s="31">
        <v>3.7</v>
      </c>
      <c r="W225" s="31">
        <v>0.1</v>
      </c>
      <c r="X225" s="31" t="s">
        <v>39</v>
      </c>
      <c r="Y225" s="31">
        <v>13.8</v>
      </c>
      <c r="Z225" s="32">
        <v>244</v>
      </c>
      <c r="AA225" s="32">
        <v>121</v>
      </c>
      <c r="AB225" s="32">
        <v>2</v>
      </c>
      <c r="AC225" s="32" t="s">
        <v>39</v>
      </c>
      <c r="AD225" s="32">
        <v>367</v>
      </c>
      <c r="AE225" s="33">
        <v>466</v>
      </c>
      <c r="AF225" s="33">
        <v>28</v>
      </c>
      <c r="AG225" s="33">
        <v>0</v>
      </c>
      <c r="AH225" s="33" t="s">
        <v>39</v>
      </c>
      <c r="AI225" s="33">
        <v>494</v>
      </c>
      <c r="AJ225" s="34" t="s">
        <v>39</v>
      </c>
    </row>
    <row r="226" spans="1:36" ht="38.450000000000003" customHeight="1" x14ac:dyDescent="0.25">
      <c r="A226" s="25">
        <v>2021</v>
      </c>
      <c r="B226" s="26">
        <v>16195</v>
      </c>
      <c r="C226" s="27" t="s">
        <v>310</v>
      </c>
      <c r="D226" s="27" t="s">
        <v>35</v>
      </c>
      <c r="E226" s="27" t="s">
        <v>80</v>
      </c>
      <c r="F226" s="28">
        <v>2578</v>
      </c>
      <c r="G226" s="28">
        <v>196</v>
      </c>
      <c r="H226" s="28" t="s">
        <v>39</v>
      </c>
      <c r="I226" s="28" t="s">
        <v>39</v>
      </c>
      <c r="J226" s="28">
        <v>2774</v>
      </c>
      <c r="K226" s="29" t="s">
        <v>39</v>
      </c>
      <c r="L226" s="29" t="s">
        <v>39</v>
      </c>
      <c r="M226" s="29" t="s">
        <v>39</v>
      </c>
      <c r="N226" s="29" t="s">
        <v>39</v>
      </c>
      <c r="O226" s="29" t="s">
        <v>39</v>
      </c>
      <c r="P226" s="30">
        <v>1.6359999999999999</v>
      </c>
      <c r="Q226" s="30">
        <v>0.124</v>
      </c>
      <c r="R226" s="30" t="s">
        <v>39</v>
      </c>
      <c r="S226" s="30" t="s">
        <v>39</v>
      </c>
      <c r="T226" s="30">
        <v>1.76</v>
      </c>
      <c r="U226" s="31">
        <v>1.6359999999999999</v>
      </c>
      <c r="V226" s="31">
        <v>0.124</v>
      </c>
      <c r="W226" s="31" t="s">
        <v>39</v>
      </c>
      <c r="X226" s="31" t="s">
        <v>39</v>
      </c>
      <c r="Y226" s="31">
        <v>1.76</v>
      </c>
      <c r="Z226" s="32">
        <v>1.2</v>
      </c>
      <c r="AA226" s="32">
        <v>0</v>
      </c>
      <c r="AB226" s="32" t="s">
        <v>39</v>
      </c>
      <c r="AC226" s="32" t="s">
        <v>39</v>
      </c>
      <c r="AD226" s="32">
        <v>1.2</v>
      </c>
      <c r="AE226" s="33">
        <v>51.531999999999996</v>
      </c>
      <c r="AF226" s="33">
        <v>3.9180000000000001</v>
      </c>
      <c r="AG226" s="33" t="s">
        <v>39</v>
      </c>
      <c r="AH226" s="33" t="s">
        <v>39</v>
      </c>
      <c r="AI226" s="33">
        <v>55.45</v>
      </c>
      <c r="AJ226" s="34">
        <v>0</v>
      </c>
    </row>
    <row r="227" spans="1:36" ht="38.450000000000003" customHeight="1" x14ac:dyDescent="0.25">
      <c r="A227" s="25">
        <v>2021</v>
      </c>
      <c r="B227" s="26">
        <v>16295</v>
      </c>
      <c r="C227" s="27" t="s">
        <v>311</v>
      </c>
      <c r="D227" s="27" t="s">
        <v>42</v>
      </c>
      <c r="E227" s="27" t="s">
        <v>247</v>
      </c>
      <c r="F227" s="28">
        <v>3581</v>
      </c>
      <c r="G227" s="28" t="s">
        <v>39</v>
      </c>
      <c r="H227" s="28" t="s">
        <v>39</v>
      </c>
      <c r="I227" s="28" t="s">
        <v>39</v>
      </c>
      <c r="J227" s="28">
        <v>3581</v>
      </c>
      <c r="K227" s="29">
        <v>0</v>
      </c>
      <c r="L227" s="29" t="s">
        <v>39</v>
      </c>
      <c r="M227" s="29" t="s">
        <v>39</v>
      </c>
      <c r="N227" s="29" t="s">
        <v>39</v>
      </c>
      <c r="O227" s="29">
        <v>0</v>
      </c>
      <c r="P227" s="30">
        <v>2.0630000000000002</v>
      </c>
      <c r="Q227" s="30" t="s">
        <v>39</v>
      </c>
      <c r="R227" s="30" t="s">
        <v>39</v>
      </c>
      <c r="S227" s="30" t="s">
        <v>39</v>
      </c>
      <c r="T227" s="30">
        <v>2.0630000000000002</v>
      </c>
      <c r="U227" s="31">
        <v>0</v>
      </c>
      <c r="V227" s="31" t="s">
        <v>39</v>
      </c>
      <c r="W227" s="31" t="s">
        <v>39</v>
      </c>
      <c r="X227" s="31" t="s">
        <v>39</v>
      </c>
      <c r="Y227" s="31">
        <v>0</v>
      </c>
      <c r="Z227" s="32">
        <v>35.81</v>
      </c>
      <c r="AA227" s="32" t="s">
        <v>39</v>
      </c>
      <c r="AB227" s="32" t="s">
        <v>39</v>
      </c>
      <c r="AC227" s="32" t="s">
        <v>39</v>
      </c>
      <c r="AD227" s="32">
        <v>35.81</v>
      </c>
      <c r="AE227" s="33">
        <v>9.7810000000000006</v>
      </c>
      <c r="AF227" s="33" t="s">
        <v>39</v>
      </c>
      <c r="AG227" s="33" t="s">
        <v>39</v>
      </c>
      <c r="AH227" s="33" t="s">
        <v>39</v>
      </c>
      <c r="AI227" s="33">
        <v>9.7810000000000006</v>
      </c>
      <c r="AJ227" s="34" t="s">
        <v>39</v>
      </c>
    </row>
    <row r="228" spans="1:36" ht="51" customHeight="1" x14ac:dyDescent="0.25">
      <c r="A228" s="25">
        <v>2021</v>
      </c>
      <c r="B228" s="26">
        <v>16496</v>
      </c>
      <c r="C228" s="27" t="s">
        <v>312</v>
      </c>
      <c r="D228" s="27" t="s">
        <v>79</v>
      </c>
      <c r="E228" s="27" t="s">
        <v>80</v>
      </c>
      <c r="F228" s="28">
        <v>7449</v>
      </c>
      <c r="G228" s="28" t="s">
        <v>39</v>
      </c>
      <c r="H228" s="28" t="s">
        <v>39</v>
      </c>
      <c r="I228" s="28" t="s">
        <v>39</v>
      </c>
      <c r="J228" s="28">
        <v>7449</v>
      </c>
      <c r="K228" s="29">
        <v>0</v>
      </c>
      <c r="L228" s="29" t="s">
        <v>39</v>
      </c>
      <c r="M228" s="29" t="s">
        <v>39</v>
      </c>
      <c r="N228" s="29" t="s">
        <v>39</v>
      </c>
      <c r="O228" s="29">
        <v>0</v>
      </c>
      <c r="P228" s="30">
        <v>3</v>
      </c>
      <c r="Q228" s="30" t="s">
        <v>39</v>
      </c>
      <c r="R228" s="30" t="s">
        <v>39</v>
      </c>
      <c r="S228" s="30" t="s">
        <v>39</v>
      </c>
      <c r="T228" s="30">
        <v>3</v>
      </c>
      <c r="U228" s="31">
        <v>0</v>
      </c>
      <c r="V228" s="31" t="s">
        <v>39</v>
      </c>
      <c r="W228" s="31" t="s">
        <v>39</v>
      </c>
      <c r="X228" s="31" t="s">
        <v>39</v>
      </c>
      <c r="Y228" s="31">
        <v>0</v>
      </c>
      <c r="Z228" s="32">
        <v>158.93799999999999</v>
      </c>
      <c r="AA228" s="32" t="s">
        <v>39</v>
      </c>
      <c r="AB228" s="32" t="s">
        <v>39</v>
      </c>
      <c r="AC228" s="32" t="s">
        <v>39</v>
      </c>
      <c r="AD228" s="32">
        <v>158.93799999999999</v>
      </c>
      <c r="AE228" s="33" t="s">
        <v>39</v>
      </c>
      <c r="AF228" s="33" t="s">
        <v>39</v>
      </c>
      <c r="AG228" s="33" t="s">
        <v>39</v>
      </c>
      <c r="AH228" s="33" t="s">
        <v>39</v>
      </c>
      <c r="AI228" s="33" t="s">
        <v>39</v>
      </c>
      <c r="AJ228" s="34" t="s">
        <v>39</v>
      </c>
    </row>
    <row r="229" spans="1:36" ht="51" customHeight="1" x14ac:dyDescent="0.25">
      <c r="A229" s="25">
        <v>2021</v>
      </c>
      <c r="B229" s="26">
        <v>16534</v>
      </c>
      <c r="C229" s="27" t="s">
        <v>313</v>
      </c>
      <c r="D229" s="27" t="s">
        <v>42</v>
      </c>
      <c r="E229" s="27" t="s">
        <v>247</v>
      </c>
      <c r="F229" s="28">
        <v>84176</v>
      </c>
      <c r="G229" s="28">
        <v>31</v>
      </c>
      <c r="H229" s="28">
        <v>1</v>
      </c>
      <c r="I229" s="28" t="s">
        <v>39</v>
      </c>
      <c r="J229" s="28">
        <v>84208</v>
      </c>
      <c r="K229" s="29">
        <v>0</v>
      </c>
      <c r="L229" s="29">
        <v>172</v>
      </c>
      <c r="M229" s="29">
        <v>0</v>
      </c>
      <c r="N229" s="29" t="s">
        <v>39</v>
      </c>
      <c r="O229" s="29">
        <v>172</v>
      </c>
      <c r="P229" s="30">
        <v>59.08</v>
      </c>
      <c r="Q229" s="30">
        <v>9.5</v>
      </c>
      <c r="R229" s="30">
        <v>6.5</v>
      </c>
      <c r="S229" s="30" t="s">
        <v>39</v>
      </c>
      <c r="T229" s="30">
        <v>75.08</v>
      </c>
      <c r="U229" s="31">
        <v>0</v>
      </c>
      <c r="V229" s="31">
        <v>9.3000000000000007</v>
      </c>
      <c r="W229" s="31">
        <v>0</v>
      </c>
      <c r="X229" s="31" t="s">
        <v>39</v>
      </c>
      <c r="Y229" s="31">
        <v>9.3000000000000007</v>
      </c>
      <c r="Z229" s="32">
        <v>432.30500000000001</v>
      </c>
      <c r="AA229" s="32">
        <v>201.62799999999999</v>
      </c>
      <c r="AB229" s="32">
        <v>252.18799999999999</v>
      </c>
      <c r="AC229" s="32" t="s">
        <v>39</v>
      </c>
      <c r="AD229" s="32">
        <v>886.12099999999998</v>
      </c>
      <c r="AE229" s="33">
        <v>163.97300000000001</v>
      </c>
      <c r="AF229" s="33">
        <v>474.60700000000003</v>
      </c>
      <c r="AG229" s="33">
        <v>0</v>
      </c>
      <c r="AH229" s="33" t="s">
        <v>39</v>
      </c>
      <c r="AI229" s="33">
        <v>638.58000000000004</v>
      </c>
      <c r="AJ229" s="34">
        <v>0</v>
      </c>
    </row>
    <row r="230" spans="1:36" ht="26.1" customHeight="1" x14ac:dyDescent="0.25">
      <c r="A230" s="25">
        <v>2021</v>
      </c>
      <c r="B230" s="26">
        <v>16572</v>
      </c>
      <c r="C230" s="27" t="s">
        <v>314</v>
      </c>
      <c r="D230" s="27" t="s">
        <v>60</v>
      </c>
      <c r="E230" s="27" t="s">
        <v>315</v>
      </c>
      <c r="F230" s="28">
        <v>37670</v>
      </c>
      <c r="G230" s="28">
        <v>473</v>
      </c>
      <c r="H230" s="28">
        <v>3</v>
      </c>
      <c r="I230" s="28" t="s">
        <v>39</v>
      </c>
      <c r="J230" s="28">
        <v>38146</v>
      </c>
      <c r="K230" s="29">
        <v>972.4</v>
      </c>
      <c r="L230" s="29">
        <v>613.4</v>
      </c>
      <c r="M230" s="29" t="s">
        <v>39</v>
      </c>
      <c r="N230" s="29" t="s">
        <v>39</v>
      </c>
      <c r="O230" s="29">
        <v>1585.8</v>
      </c>
      <c r="P230" s="30">
        <v>67.2</v>
      </c>
      <c r="Q230" s="30">
        <v>45</v>
      </c>
      <c r="R230" s="30">
        <v>78</v>
      </c>
      <c r="S230" s="30" t="s">
        <v>39</v>
      </c>
      <c r="T230" s="30">
        <v>190.2</v>
      </c>
      <c r="U230" s="31">
        <v>60.8</v>
      </c>
      <c r="V230" s="31">
        <v>41.8</v>
      </c>
      <c r="W230" s="31">
        <v>0</v>
      </c>
      <c r="X230" s="31" t="s">
        <v>39</v>
      </c>
      <c r="Y230" s="31">
        <v>102.6</v>
      </c>
      <c r="Z230" s="32">
        <v>1261</v>
      </c>
      <c r="AA230" s="32">
        <v>1483</v>
      </c>
      <c r="AB230" s="32" t="s">
        <v>39</v>
      </c>
      <c r="AC230" s="32" t="s">
        <v>39</v>
      </c>
      <c r="AD230" s="32">
        <v>2744</v>
      </c>
      <c r="AE230" s="33">
        <v>1630</v>
      </c>
      <c r="AF230" s="33">
        <v>1392</v>
      </c>
      <c r="AG230" s="33" t="s">
        <v>39</v>
      </c>
      <c r="AH230" s="33" t="s">
        <v>39</v>
      </c>
      <c r="AI230" s="33">
        <v>3022</v>
      </c>
      <c r="AJ230" s="34" t="s">
        <v>39</v>
      </c>
    </row>
    <row r="231" spans="1:36" ht="51" customHeight="1" x14ac:dyDescent="0.25">
      <c r="A231" s="25">
        <v>2021</v>
      </c>
      <c r="B231" s="26">
        <v>16604</v>
      </c>
      <c r="C231" s="27" t="s">
        <v>316</v>
      </c>
      <c r="D231" s="27" t="s">
        <v>67</v>
      </c>
      <c r="E231" s="27" t="s">
        <v>68</v>
      </c>
      <c r="F231" s="28">
        <v>492691</v>
      </c>
      <c r="G231" s="28">
        <v>722</v>
      </c>
      <c r="H231" s="28" t="s">
        <v>39</v>
      </c>
      <c r="I231" s="28" t="s">
        <v>39</v>
      </c>
      <c r="J231" s="28">
        <v>493413</v>
      </c>
      <c r="K231" s="29">
        <v>46759</v>
      </c>
      <c r="L231" s="29">
        <v>4234</v>
      </c>
      <c r="M231" s="29" t="s">
        <v>39</v>
      </c>
      <c r="N231" s="29" t="s">
        <v>39</v>
      </c>
      <c r="O231" s="29">
        <v>50993</v>
      </c>
      <c r="P231" s="30">
        <v>102</v>
      </c>
      <c r="Q231" s="30">
        <v>84</v>
      </c>
      <c r="R231" s="30" t="s">
        <v>39</v>
      </c>
      <c r="S231" s="30" t="s">
        <v>39</v>
      </c>
      <c r="T231" s="30">
        <v>186</v>
      </c>
      <c r="U231" s="31">
        <v>102</v>
      </c>
      <c r="V231" s="31">
        <v>84</v>
      </c>
      <c r="W231" s="31" t="s">
        <v>39</v>
      </c>
      <c r="X231" s="31" t="s">
        <v>39</v>
      </c>
      <c r="Y231" s="31">
        <v>186</v>
      </c>
      <c r="Z231" s="32">
        <v>6041</v>
      </c>
      <c r="AA231" s="32">
        <v>4885</v>
      </c>
      <c r="AB231" s="32" t="s">
        <v>39</v>
      </c>
      <c r="AC231" s="32" t="s">
        <v>39</v>
      </c>
      <c r="AD231" s="32">
        <v>10926</v>
      </c>
      <c r="AE231" s="33">
        <v>418</v>
      </c>
      <c r="AF231" s="33">
        <v>362</v>
      </c>
      <c r="AG231" s="33" t="s">
        <v>39</v>
      </c>
      <c r="AH231" s="33" t="s">
        <v>39</v>
      </c>
      <c r="AI231" s="33">
        <v>780</v>
      </c>
      <c r="AJ231" s="34" t="s">
        <v>39</v>
      </c>
    </row>
    <row r="232" spans="1:36" ht="38.450000000000003" customHeight="1" x14ac:dyDescent="0.25">
      <c r="A232" s="25">
        <v>2021</v>
      </c>
      <c r="B232" s="26">
        <v>16606</v>
      </c>
      <c r="C232" s="27" t="s">
        <v>317</v>
      </c>
      <c r="D232" s="27" t="s">
        <v>35</v>
      </c>
      <c r="E232" s="27" t="s">
        <v>35</v>
      </c>
      <c r="F232" s="28">
        <v>33</v>
      </c>
      <c r="G232" s="28" t="s">
        <v>39</v>
      </c>
      <c r="H232" s="28" t="s">
        <v>39</v>
      </c>
      <c r="I232" s="28" t="s">
        <v>39</v>
      </c>
      <c r="J232" s="28">
        <v>33</v>
      </c>
      <c r="K232" s="29">
        <v>0.114</v>
      </c>
      <c r="L232" s="29" t="s">
        <v>39</v>
      </c>
      <c r="M232" s="29" t="s">
        <v>39</v>
      </c>
      <c r="N232" s="29" t="s">
        <v>39</v>
      </c>
      <c r="O232" s="29">
        <v>0.114</v>
      </c>
      <c r="P232" s="30">
        <v>0.23</v>
      </c>
      <c r="Q232" s="30" t="s">
        <v>39</v>
      </c>
      <c r="R232" s="30" t="s">
        <v>39</v>
      </c>
      <c r="S232" s="30" t="s">
        <v>39</v>
      </c>
      <c r="T232" s="30">
        <v>0.23</v>
      </c>
      <c r="U232" s="31">
        <v>0.23</v>
      </c>
      <c r="V232" s="31" t="s">
        <v>39</v>
      </c>
      <c r="W232" s="31" t="s">
        <v>39</v>
      </c>
      <c r="X232" s="31" t="s">
        <v>39</v>
      </c>
      <c r="Y232" s="31">
        <v>0.23</v>
      </c>
      <c r="Z232" s="32">
        <v>6.5</v>
      </c>
      <c r="AA232" s="32" t="s">
        <v>39</v>
      </c>
      <c r="AB232" s="32" t="s">
        <v>39</v>
      </c>
      <c r="AC232" s="32" t="s">
        <v>39</v>
      </c>
      <c r="AD232" s="32">
        <v>6.5</v>
      </c>
      <c r="AE232" s="33">
        <v>6.3</v>
      </c>
      <c r="AF232" s="33" t="s">
        <v>39</v>
      </c>
      <c r="AG232" s="33" t="s">
        <v>39</v>
      </c>
      <c r="AH232" s="33" t="s">
        <v>39</v>
      </c>
      <c r="AI232" s="33">
        <v>6.3</v>
      </c>
      <c r="AJ232" s="34">
        <v>32</v>
      </c>
    </row>
    <row r="233" spans="1:36" ht="63.6" customHeight="1" x14ac:dyDescent="0.25">
      <c r="A233" s="25">
        <v>2021</v>
      </c>
      <c r="B233" s="26">
        <v>16609</v>
      </c>
      <c r="C233" s="27" t="s">
        <v>318</v>
      </c>
      <c r="D233" s="27" t="s">
        <v>42</v>
      </c>
      <c r="E233" s="27" t="s">
        <v>43</v>
      </c>
      <c r="F233" s="28">
        <v>81214</v>
      </c>
      <c r="G233" s="28">
        <v>60246</v>
      </c>
      <c r="H233" s="28">
        <v>498</v>
      </c>
      <c r="I233" s="28" t="s">
        <v>39</v>
      </c>
      <c r="J233" s="28">
        <v>141958</v>
      </c>
      <c r="K233" s="29">
        <v>88.76</v>
      </c>
      <c r="L233" s="29">
        <v>36.22</v>
      </c>
      <c r="M233" s="29">
        <v>4.24</v>
      </c>
      <c r="N233" s="29" t="s">
        <v>39</v>
      </c>
      <c r="O233" s="29">
        <v>129.22</v>
      </c>
      <c r="P233" s="30">
        <v>15.25</v>
      </c>
      <c r="Q233" s="30">
        <v>2.87</v>
      </c>
      <c r="R233" s="30">
        <v>3.47</v>
      </c>
      <c r="S233" s="30" t="s">
        <v>39</v>
      </c>
      <c r="T233" s="30">
        <v>21.59</v>
      </c>
      <c r="U233" s="31">
        <v>14.41</v>
      </c>
      <c r="V233" s="31">
        <v>2.87</v>
      </c>
      <c r="W233" s="31">
        <v>0.22</v>
      </c>
      <c r="X233" s="31" t="s">
        <v>39</v>
      </c>
      <c r="Y233" s="31">
        <v>17.5</v>
      </c>
      <c r="Z233" s="32">
        <v>618.79999999999995</v>
      </c>
      <c r="AA233" s="32">
        <v>872.8</v>
      </c>
      <c r="AB233" s="32">
        <v>251.1</v>
      </c>
      <c r="AC233" s="32" t="s">
        <v>39</v>
      </c>
      <c r="AD233" s="32">
        <v>1742.7</v>
      </c>
      <c r="AE233" s="33">
        <v>2894.2</v>
      </c>
      <c r="AF233" s="33">
        <v>6439</v>
      </c>
      <c r="AG233" s="33">
        <v>1916.9</v>
      </c>
      <c r="AH233" s="33" t="s">
        <v>39</v>
      </c>
      <c r="AI233" s="33">
        <v>11250.1</v>
      </c>
      <c r="AJ233" s="34" t="s">
        <v>39</v>
      </c>
    </row>
    <row r="234" spans="1:36" ht="51" customHeight="1" x14ac:dyDescent="0.25">
      <c r="A234" s="25">
        <v>2021</v>
      </c>
      <c r="B234" s="26">
        <v>16627</v>
      </c>
      <c r="C234" s="27" t="s">
        <v>319</v>
      </c>
      <c r="D234" s="27" t="s">
        <v>67</v>
      </c>
      <c r="E234" s="27" t="s">
        <v>68</v>
      </c>
      <c r="F234" s="28" t="s">
        <v>39</v>
      </c>
      <c r="G234" s="28" t="s">
        <v>39</v>
      </c>
      <c r="H234" s="28">
        <v>20</v>
      </c>
      <c r="I234" s="28" t="s">
        <v>39</v>
      </c>
      <c r="J234" s="28">
        <v>20</v>
      </c>
      <c r="K234" s="29" t="s">
        <v>39</v>
      </c>
      <c r="L234" s="29" t="s">
        <v>39</v>
      </c>
      <c r="M234" s="29">
        <v>0</v>
      </c>
      <c r="N234" s="29" t="s">
        <v>39</v>
      </c>
      <c r="O234" s="29">
        <v>0</v>
      </c>
      <c r="P234" s="30" t="s">
        <v>39</v>
      </c>
      <c r="Q234" s="30" t="s">
        <v>39</v>
      </c>
      <c r="R234" s="30">
        <v>20.606999999999999</v>
      </c>
      <c r="S234" s="30" t="s">
        <v>39</v>
      </c>
      <c r="T234" s="30">
        <v>20.606999999999999</v>
      </c>
      <c r="U234" s="31" t="s">
        <v>39</v>
      </c>
      <c r="V234" s="31" t="s">
        <v>39</v>
      </c>
      <c r="W234" s="31">
        <v>3.99</v>
      </c>
      <c r="X234" s="31" t="s">
        <v>39</v>
      </c>
      <c r="Y234" s="31">
        <v>3.99</v>
      </c>
      <c r="Z234" s="32" t="s">
        <v>39</v>
      </c>
      <c r="AA234" s="32" t="s">
        <v>39</v>
      </c>
      <c r="AB234" s="32">
        <v>602.75099999999998</v>
      </c>
      <c r="AC234" s="32" t="s">
        <v>39</v>
      </c>
      <c r="AD234" s="32">
        <v>602.75099999999998</v>
      </c>
      <c r="AE234" s="33" t="s">
        <v>39</v>
      </c>
      <c r="AF234" s="33" t="s">
        <v>39</v>
      </c>
      <c r="AG234" s="33" t="s">
        <v>39</v>
      </c>
      <c r="AH234" s="33" t="s">
        <v>39</v>
      </c>
      <c r="AI234" s="33" t="s">
        <v>39</v>
      </c>
      <c r="AJ234" s="34" t="s">
        <v>39</v>
      </c>
    </row>
    <row r="235" spans="1:36" ht="75.95" customHeight="1" x14ac:dyDescent="0.25">
      <c r="A235" s="25">
        <v>2021</v>
      </c>
      <c r="B235" s="26">
        <v>16674</v>
      </c>
      <c r="C235" s="27" t="s">
        <v>320</v>
      </c>
      <c r="D235" s="27" t="s">
        <v>54</v>
      </c>
      <c r="E235" s="27" t="s">
        <v>38</v>
      </c>
      <c r="F235" s="28">
        <v>0</v>
      </c>
      <c r="G235" s="28">
        <v>917</v>
      </c>
      <c r="H235" s="28">
        <v>35</v>
      </c>
      <c r="I235" s="28">
        <v>0</v>
      </c>
      <c r="J235" s="28">
        <v>952</v>
      </c>
      <c r="K235" s="29">
        <v>0</v>
      </c>
      <c r="L235" s="29">
        <v>8.9</v>
      </c>
      <c r="M235" s="29">
        <v>6.5</v>
      </c>
      <c r="N235" s="29">
        <v>0</v>
      </c>
      <c r="O235" s="29">
        <v>15.4</v>
      </c>
      <c r="P235" s="30">
        <v>0</v>
      </c>
      <c r="Q235" s="30">
        <v>8.99</v>
      </c>
      <c r="R235" s="30">
        <v>19.5</v>
      </c>
      <c r="S235" s="30">
        <v>0</v>
      </c>
      <c r="T235" s="30">
        <v>28.49</v>
      </c>
      <c r="U235" s="31">
        <v>0</v>
      </c>
      <c r="V235" s="31">
        <v>4.6500000000000004</v>
      </c>
      <c r="W235" s="31">
        <v>12.5</v>
      </c>
      <c r="X235" s="31">
        <v>0</v>
      </c>
      <c r="Y235" s="31">
        <v>17.149999999999999</v>
      </c>
      <c r="Z235" s="32">
        <v>0</v>
      </c>
      <c r="AA235" s="32">
        <v>0</v>
      </c>
      <c r="AB235" s="32">
        <v>0</v>
      </c>
      <c r="AC235" s="32">
        <v>0</v>
      </c>
      <c r="AD235" s="32">
        <v>0</v>
      </c>
      <c r="AE235" s="33">
        <v>0</v>
      </c>
      <c r="AF235" s="33">
        <v>40</v>
      </c>
      <c r="AG235" s="33">
        <v>40</v>
      </c>
      <c r="AH235" s="33">
        <v>0</v>
      </c>
      <c r="AI235" s="33">
        <v>80</v>
      </c>
      <c r="AJ235" s="34" t="s">
        <v>39</v>
      </c>
    </row>
    <row r="236" spans="1:36" ht="51" customHeight="1" x14ac:dyDescent="0.25">
      <c r="A236" s="25">
        <v>2021</v>
      </c>
      <c r="B236" s="26">
        <v>16740</v>
      </c>
      <c r="C236" s="27" t="s">
        <v>321</v>
      </c>
      <c r="D236" s="27" t="s">
        <v>72</v>
      </c>
      <c r="E236" s="27" t="s">
        <v>49</v>
      </c>
      <c r="F236" s="28">
        <v>5739</v>
      </c>
      <c r="G236" s="28">
        <v>536</v>
      </c>
      <c r="H236" s="28">
        <v>9</v>
      </c>
      <c r="I236" s="28">
        <v>0</v>
      </c>
      <c r="J236" s="28">
        <v>6284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30">
        <v>5.64</v>
      </c>
      <c r="Q236" s="30">
        <v>0.38</v>
      </c>
      <c r="R236" s="30">
        <v>0.999</v>
      </c>
      <c r="S236" s="30">
        <v>0</v>
      </c>
      <c r="T236" s="30">
        <v>7.0190000000000001</v>
      </c>
      <c r="U236" s="31">
        <v>3.7530000000000001</v>
      </c>
      <c r="V236" s="31">
        <v>0.253</v>
      </c>
      <c r="W236" s="31">
        <v>0.66500000000000004</v>
      </c>
      <c r="X236" s="31" t="s">
        <v>39</v>
      </c>
      <c r="Y236" s="31">
        <v>4.6710000000000003</v>
      </c>
      <c r="Z236" s="32">
        <v>270</v>
      </c>
      <c r="AA236" s="32">
        <v>25</v>
      </c>
      <c r="AB236" s="32">
        <v>42</v>
      </c>
      <c r="AC236" s="32">
        <v>0</v>
      </c>
      <c r="AD236" s="32">
        <v>337</v>
      </c>
      <c r="AE236" s="33">
        <v>164</v>
      </c>
      <c r="AF236" s="33">
        <v>15</v>
      </c>
      <c r="AG236" s="33">
        <v>26</v>
      </c>
      <c r="AH236" s="33" t="s">
        <v>39</v>
      </c>
      <c r="AI236" s="33">
        <v>205</v>
      </c>
      <c r="AJ236" s="34" t="s">
        <v>39</v>
      </c>
    </row>
    <row r="237" spans="1:36" ht="51" customHeight="1" x14ac:dyDescent="0.25">
      <c r="A237" s="25">
        <v>2021</v>
      </c>
      <c r="B237" s="26">
        <v>16805</v>
      </c>
      <c r="C237" s="27" t="s">
        <v>322</v>
      </c>
      <c r="D237" s="27" t="s">
        <v>124</v>
      </c>
      <c r="E237" s="27" t="s">
        <v>125</v>
      </c>
      <c r="F237" s="28" t="s">
        <v>39</v>
      </c>
      <c r="G237" s="28">
        <v>358</v>
      </c>
      <c r="H237" s="28" t="s">
        <v>39</v>
      </c>
      <c r="I237" s="28" t="s">
        <v>39</v>
      </c>
      <c r="J237" s="28">
        <v>358</v>
      </c>
      <c r="K237" s="29" t="s">
        <v>39</v>
      </c>
      <c r="L237" s="29">
        <v>545.20000000000005</v>
      </c>
      <c r="M237" s="29" t="s">
        <v>39</v>
      </c>
      <c r="N237" s="29" t="s">
        <v>39</v>
      </c>
      <c r="O237" s="29">
        <v>545.20000000000005</v>
      </c>
      <c r="P237" s="30" t="s">
        <v>39</v>
      </c>
      <c r="Q237" s="30">
        <v>2.8</v>
      </c>
      <c r="R237" s="30" t="s">
        <v>39</v>
      </c>
      <c r="S237" s="30" t="s">
        <v>39</v>
      </c>
      <c r="T237" s="30">
        <v>2.8</v>
      </c>
      <c r="U237" s="31" t="s">
        <v>39</v>
      </c>
      <c r="V237" s="31">
        <v>0.8</v>
      </c>
      <c r="W237" s="31" t="s">
        <v>39</v>
      </c>
      <c r="X237" s="31" t="s">
        <v>39</v>
      </c>
      <c r="Y237" s="31">
        <v>0.8</v>
      </c>
      <c r="Z237" s="32" t="s">
        <v>39</v>
      </c>
      <c r="AA237" s="32" t="s">
        <v>39</v>
      </c>
      <c r="AB237" s="32" t="s">
        <v>39</v>
      </c>
      <c r="AC237" s="32" t="s">
        <v>39</v>
      </c>
      <c r="AD237" s="32" t="s">
        <v>39</v>
      </c>
      <c r="AE237" s="33" t="s">
        <v>39</v>
      </c>
      <c r="AF237" s="33">
        <v>25.8</v>
      </c>
      <c r="AG237" s="33" t="s">
        <v>39</v>
      </c>
      <c r="AH237" s="33" t="s">
        <v>39</v>
      </c>
      <c r="AI237" s="33">
        <v>25.8</v>
      </c>
      <c r="AJ237" s="34" t="s">
        <v>39</v>
      </c>
    </row>
    <row r="238" spans="1:36" ht="75.95" customHeight="1" x14ac:dyDescent="0.25">
      <c r="A238" s="25">
        <v>2021</v>
      </c>
      <c r="B238" s="26">
        <v>16865</v>
      </c>
      <c r="C238" s="27" t="s">
        <v>323</v>
      </c>
      <c r="D238" s="27" t="s">
        <v>54</v>
      </c>
      <c r="E238" s="27" t="s">
        <v>38</v>
      </c>
      <c r="F238" s="28">
        <v>60816</v>
      </c>
      <c r="G238" s="28">
        <v>697</v>
      </c>
      <c r="H238" s="28">
        <v>0</v>
      </c>
      <c r="I238" s="28">
        <v>0</v>
      </c>
      <c r="J238" s="28">
        <v>61513</v>
      </c>
      <c r="K238" s="29">
        <v>111.72</v>
      </c>
      <c r="L238" s="29">
        <v>565.65</v>
      </c>
      <c r="M238" s="29">
        <v>0</v>
      </c>
      <c r="N238" s="29">
        <v>0</v>
      </c>
      <c r="O238" s="29">
        <v>677.37</v>
      </c>
      <c r="P238" s="30">
        <v>146.84</v>
      </c>
      <c r="Q238" s="30">
        <v>9.0500000000000007</v>
      </c>
      <c r="R238" s="30">
        <v>0</v>
      </c>
      <c r="S238" s="30">
        <v>0</v>
      </c>
      <c r="T238" s="30">
        <v>155.88999999999999</v>
      </c>
      <c r="U238" s="31">
        <v>51.39</v>
      </c>
      <c r="V238" s="31">
        <v>3.1669999999999998</v>
      </c>
      <c r="W238" s="31">
        <v>0</v>
      </c>
      <c r="X238" s="31">
        <v>0</v>
      </c>
      <c r="Y238" s="31">
        <v>54.557000000000002</v>
      </c>
      <c r="Z238" s="32">
        <v>1921.232</v>
      </c>
      <c r="AA238" s="32">
        <v>127</v>
      </c>
      <c r="AB238" s="32" t="s">
        <v>39</v>
      </c>
      <c r="AC238" s="32" t="s">
        <v>39</v>
      </c>
      <c r="AD238" s="32">
        <v>2048.232</v>
      </c>
      <c r="AE238" s="33">
        <v>1097.288</v>
      </c>
      <c r="AF238" s="33">
        <v>0</v>
      </c>
      <c r="AG238" s="33" t="s">
        <v>39</v>
      </c>
      <c r="AH238" s="33" t="s">
        <v>39</v>
      </c>
      <c r="AI238" s="33">
        <v>1097.288</v>
      </c>
      <c r="AJ238" s="34" t="s">
        <v>39</v>
      </c>
    </row>
    <row r="239" spans="1:36" ht="51" customHeight="1" x14ac:dyDescent="0.25">
      <c r="A239" s="25">
        <v>2021</v>
      </c>
      <c r="B239" s="26">
        <v>16971</v>
      </c>
      <c r="C239" s="27" t="s">
        <v>324</v>
      </c>
      <c r="D239" s="27" t="s">
        <v>48</v>
      </c>
      <c r="E239" s="27" t="s">
        <v>49</v>
      </c>
      <c r="F239" s="28">
        <v>1193</v>
      </c>
      <c r="G239" s="28" t="s">
        <v>39</v>
      </c>
      <c r="H239" s="28" t="s">
        <v>39</v>
      </c>
      <c r="I239" s="28" t="s">
        <v>39</v>
      </c>
      <c r="J239" s="28">
        <v>1193</v>
      </c>
      <c r="K239" s="29" t="s">
        <v>39</v>
      </c>
      <c r="L239" s="29" t="s">
        <v>39</v>
      </c>
      <c r="M239" s="29" t="s">
        <v>39</v>
      </c>
      <c r="N239" s="29" t="s">
        <v>39</v>
      </c>
      <c r="O239" s="29" t="s">
        <v>39</v>
      </c>
      <c r="P239" s="30">
        <v>2</v>
      </c>
      <c r="Q239" s="30" t="s">
        <v>39</v>
      </c>
      <c r="R239" s="30" t="s">
        <v>39</v>
      </c>
      <c r="S239" s="30" t="s">
        <v>39</v>
      </c>
      <c r="T239" s="30">
        <v>2</v>
      </c>
      <c r="U239" s="31">
        <v>0.7</v>
      </c>
      <c r="V239" s="31" t="s">
        <v>39</v>
      </c>
      <c r="W239" s="31" t="s">
        <v>39</v>
      </c>
      <c r="X239" s="31" t="s">
        <v>39</v>
      </c>
      <c r="Y239" s="31">
        <v>0.7</v>
      </c>
      <c r="Z239" s="32">
        <v>22.396000000000001</v>
      </c>
      <c r="AA239" s="32" t="s">
        <v>39</v>
      </c>
      <c r="AB239" s="32" t="s">
        <v>39</v>
      </c>
      <c r="AC239" s="32" t="s">
        <v>39</v>
      </c>
      <c r="AD239" s="32">
        <v>22.396000000000001</v>
      </c>
      <c r="AE239" s="33">
        <v>27.350999999999999</v>
      </c>
      <c r="AF239" s="33" t="s">
        <v>39</v>
      </c>
      <c r="AG239" s="33" t="s">
        <v>39</v>
      </c>
      <c r="AH239" s="33" t="s">
        <v>39</v>
      </c>
      <c r="AI239" s="33">
        <v>27.350999999999999</v>
      </c>
      <c r="AJ239" s="34" t="s">
        <v>39</v>
      </c>
    </row>
    <row r="240" spans="1:36" ht="38.450000000000003" customHeight="1" x14ac:dyDescent="0.25">
      <c r="A240" s="25">
        <v>2021</v>
      </c>
      <c r="B240" s="26">
        <v>17040</v>
      </c>
      <c r="C240" s="27" t="s">
        <v>325</v>
      </c>
      <c r="D240" s="27" t="s">
        <v>105</v>
      </c>
      <c r="E240" s="27" t="s">
        <v>49</v>
      </c>
      <c r="F240" s="28">
        <v>1092</v>
      </c>
      <c r="G240" s="28">
        <v>43</v>
      </c>
      <c r="H240" s="28" t="s">
        <v>39</v>
      </c>
      <c r="I240" s="28" t="s">
        <v>39</v>
      </c>
      <c r="J240" s="28">
        <v>1135</v>
      </c>
      <c r="K240" s="29" t="s">
        <v>39</v>
      </c>
      <c r="L240" s="29" t="s">
        <v>39</v>
      </c>
      <c r="M240" s="29" t="s">
        <v>39</v>
      </c>
      <c r="N240" s="29" t="s">
        <v>39</v>
      </c>
      <c r="O240" s="29" t="s">
        <v>39</v>
      </c>
      <c r="P240" s="30">
        <v>6.3</v>
      </c>
      <c r="Q240" s="30">
        <v>7.2</v>
      </c>
      <c r="R240" s="30" t="s">
        <v>39</v>
      </c>
      <c r="S240" s="30" t="s">
        <v>39</v>
      </c>
      <c r="T240" s="30">
        <v>13.5</v>
      </c>
      <c r="U240" s="31" t="s">
        <v>39</v>
      </c>
      <c r="V240" s="31" t="s">
        <v>39</v>
      </c>
      <c r="W240" s="31" t="s">
        <v>39</v>
      </c>
      <c r="X240" s="31" t="s">
        <v>39</v>
      </c>
      <c r="Y240" s="31" t="s">
        <v>39</v>
      </c>
      <c r="Z240" s="32" t="s">
        <v>39</v>
      </c>
      <c r="AA240" s="32" t="s">
        <v>39</v>
      </c>
      <c r="AB240" s="32" t="s">
        <v>39</v>
      </c>
      <c r="AC240" s="32" t="s">
        <v>39</v>
      </c>
      <c r="AD240" s="32" t="s">
        <v>39</v>
      </c>
      <c r="AE240" s="33">
        <v>0</v>
      </c>
      <c r="AF240" s="33">
        <v>0</v>
      </c>
      <c r="AG240" s="33" t="s">
        <v>39</v>
      </c>
      <c r="AH240" s="33" t="s">
        <v>39</v>
      </c>
      <c r="AI240" s="33">
        <v>0</v>
      </c>
      <c r="AJ240" s="34" t="s">
        <v>39</v>
      </c>
    </row>
    <row r="241" spans="1:36" ht="63.6" customHeight="1" x14ac:dyDescent="0.25">
      <c r="A241" s="25">
        <v>2021</v>
      </c>
      <c r="B241" s="26">
        <v>17066</v>
      </c>
      <c r="C241" s="27" t="s">
        <v>326</v>
      </c>
      <c r="D241" s="27" t="s">
        <v>57</v>
      </c>
      <c r="E241" s="27" t="s">
        <v>52</v>
      </c>
      <c r="F241" s="28">
        <v>16488</v>
      </c>
      <c r="G241" s="28" t="s">
        <v>39</v>
      </c>
      <c r="H241" s="28" t="s">
        <v>39</v>
      </c>
      <c r="I241" s="28" t="s">
        <v>39</v>
      </c>
      <c r="J241" s="28">
        <v>16488</v>
      </c>
      <c r="K241" s="29">
        <v>221.58199999999999</v>
      </c>
      <c r="L241" s="29" t="s">
        <v>39</v>
      </c>
      <c r="M241" s="29" t="s">
        <v>39</v>
      </c>
      <c r="N241" s="29" t="s">
        <v>39</v>
      </c>
      <c r="O241" s="29">
        <v>221.58199999999999</v>
      </c>
      <c r="P241" s="30">
        <v>65.400000000000006</v>
      </c>
      <c r="Q241" s="30" t="s">
        <v>39</v>
      </c>
      <c r="R241" s="30" t="s">
        <v>39</v>
      </c>
      <c r="S241" s="30" t="s">
        <v>39</v>
      </c>
      <c r="T241" s="30">
        <v>65.400000000000006</v>
      </c>
      <c r="U241" s="31">
        <v>35.875</v>
      </c>
      <c r="V241" s="31" t="s">
        <v>39</v>
      </c>
      <c r="W241" s="31" t="s">
        <v>39</v>
      </c>
      <c r="X241" s="31" t="s">
        <v>39</v>
      </c>
      <c r="Y241" s="31">
        <v>35.875</v>
      </c>
      <c r="Z241" s="32" t="s">
        <v>39</v>
      </c>
      <c r="AA241" s="32" t="s">
        <v>39</v>
      </c>
      <c r="AB241" s="32" t="s">
        <v>39</v>
      </c>
      <c r="AC241" s="32" t="s">
        <v>39</v>
      </c>
      <c r="AD241" s="32" t="s">
        <v>39</v>
      </c>
      <c r="AE241" s="33">
        <v>601.74699999999996</v>
      </c>
      <c r="AF241" s="33" t="s">
        <v>39</v>
      </c>
      <c r="AG241" s="33" t="s">
        <v>39</v>
      </c>
      <c r="AH241" s="33" t="s">
        <v>39</v>
      </c>
      <c r="AI241" s="33">
        <v>601.74699999999996</v>
      </c>
      <c r="AJ241" s="34">
        <v>0</v>
      </c>
    </row>
    <row r="242" spans="1:36" ht="51" customHeight="1" x14ac:dyDescent="0.25">
      <c r="A242" s="25">
        <v>2021</v>
      </c>
      <c r="B242" s="26">
        <v>17166</v>
      </c>
      <c r="C242" s="27" t="s">
        <v>327</v>
      </c>
      <c r="D242" s="27" t="s">
        <v>252</v>
      </c>
      <c r="E242" s="27" t="s">
        <v>253</v>
      </c>
      <c r="F242" s="28">
        <v>10415</v>
      </c>
      <c r="G242" s="28">
        <v>373</v>
      </c>
      <c r="H242" s="28">
        <v>0</v>
      </c>
      <c r="I242" s="28">
        <v>0</v>
      </c>
      <c r="J242" s="28">
        <v>10788</v>
      </c>
      <c r="K242" s="29">
        <v>2203</v>
      </c>
      <c r="L242" s="29">
        <v>547</v>
      </c>
      <c r="M242" s="29">
        <v>0</v>
      </c>
      <c r="N242" s="29">
        <v>0</v>
      </c>
      <c r="O242" s="29">
        <v>2750</v>
      </c>
      <c r="P242" s="30">
        <v>19.399999999999999</v>
      </c>
      <c r="Q242" s="30">
        <v>3.7</v>
      </c>
      <c r="R242" s="30">
        <v>0</v>
      </c>
      <c r="S242" s="30">
        <v>0</v>
      </c>
      <c r="T242" s="30">
        <v>23.1</v>
      </c>
      <c r="U242" s="31">
        <v>16.3</v>
      </c>
      <c r="V242" s="31">
        <v>3.2</v>
      </c>
      <c r="W242" s="31">
        <v>0</v>
      </c>
      <c r="X242" s="31">
        <v>0</v>
      </c>
      <c r="Y242" s="31">
        <v>19.5</v>
      </c>
      <c r="Z242" s="32">
        <v>67.5</v>
      </c>
      <c r="AA242" s="32">
        <v>0</v>
      </c>
      <c r="AB242" s="32">
        <v>0</v>
      </c>
      <c r="AC242" s="32">
        <v>0</v>
      </c>
      <c r="AD242" s="32">
        <v>67.5</v>
      </c>
      <c r="AE242" s="33">
        <v>1608.9</v>
      </c>
      <c r="AF242" s="33">
        <v>273</v>
      </c>
      <c r="AG242" s="33">
        <v>0</v>
      </c>
      <c r="AH242" s="33">
        <v>0</v>
      </c>
      <c r="AI242" s="33">
        <v>1881.9</v>
      </c>
      <c r="AJ242" s="34" t="s">
        <v>39</v>
      </c>
    </row>
    <row r="243" spans="1:36" ht="51" customHeight="1" x14ac:dyDescent="0.25">
      <c r="A243" s="25">
        <v>2021</v>
      </c>
      <c r="B243" s="26">
        <v>17267</v>
      </c>
      <c r="C243" s="27" t="s">
        <v>328</v>
      </c>
      <c r="D243" s="27" t="s">
        <v>48</v>
      </c>
      <c r="E243" s="27" t="s">
        <v>77</v>
      </c>
      <c r="F243" s="28" t="s">
        <v>39</v>
      </c>
      <c r="G243" s="28" t="s">
        <v>39</v>
      </c>
      <c r="H243" s="28" t="s">
        <v>39</v>
      </c>
      <c r="I243" s="28" t="s">
        <v>39</v>
      </c>
      <c r="J243" s="28" t="s">
        <v>39</v>
      </c>
      <c r="K243" s="29" t="s">
        <v>39</v>
      </c>
      <c r="L243" s="29" t="s">
        <v>39</v>
      </c>
      <c r="M243" s="29" t="s">
        <v>39</v>
      </c>
      <c r="N243" s="29" t="s">
        <v>39</v>
      </c>
      <c r="O243" s="29" t="s">
        <v>39</v>
      </c>
      <c r="P243" s="30" t="s">
        <v>39</v>
      </c>
      <c r="Q243" s="30" t="s">
        <v>39</v>
      </c>
      <c r="R243" s="30" t="s">
        <v>39</v>
      </c>
      <c r="S243" s="30" t="s">
        <v>39</v>
      </c>
      <c r="T243" s="30" t="s">
        <v>39</v>
      </c>
      <c r="U243" s="31" t="s">
        <v>39</v>
      </c>
      <c r="V243" s="31" t="s">
        <v>39</v>
      </c>
      <c r="W243" s="31" t="s">
        <v>39</v>
      </c>
      <c r="X243" s="31" t="s">
        <v>39</v>
      </c>
      <c r="Y243" s="31" t="s">
        <v>39</v>
      </c>
      <c r="Z243" s="32" t="s">
        <v>39</v>
      </c>
      <c r="AA243" s="32" t="s">
        <v>39</v>
      </c>
      <c r="AB243" s="32" t="s">
        <v>39</v>
      </c>
      <c r="AC243" s="32" t="s">
        <v>39</v>
      </c>
      <c r="AD243" s="32" t="s">
        <v>39</v>
      </c>
      <c r="AE243" s="33" t="s">
        <v>39</v>
      </c>
      <c r="AF243" s="33" t="s">
        <v>39</v>
      </c>
      <c r="AG243" s="33" t="s">
        <v>39</v>
      </c>
      <c r="AH243" s="33" t="s">
        <v>39</v>
      </c>
      <c r="AI243" s="33" t="s">
        <v>39</v>
      </c>
      <c r="AJ243" s="34">
        <v>39</v>
      </c>
    </row>
    <row r="244" spans="1:36" ht="51" customHeight="1" x14ac:dyDescent="0.25">
      <c r="A244" s="25">
        <v>2021</v>
      </c>
      <c r="B244" s="26">
        <v>17267</v>
      </c>
      <c r="C244" s="27" t="s">
        <v>328</v>
      </c>
      <c r="D244" s="27" t="s">
        <v>76</v>
      </c>
      <c r="E244" s="27" t="s">
        <v>77</v>
      </c>
      <c r="F244" s="28" t="s">
        <v>39</v>
      </c>
      <c r="G244" s="28" t="s">
        <v>39</v>
      </c>
      <c r="H244" s="28" t="s">
        <v>39</v>
      </c>
      <c r="I244" s="28" t="s">
        <v>39</v>
      </c>
      <c r="J244" s="28" t="s">
        <v>39</v>
      </c>
      <c r="K244" s="29" t="s">
        <v>39</v>
      </c>
      <c r="L244" s="29" t="s">
        <v>39</v>
      </c>
      <c r="M244" s="29" t="s">
        <v>39</v>
      </c>
      <c r="N244" s="29" t="s">
        <v>39</v>
      </c>
      <c r="O244" s="29" t="s">
        <v>39</v>
      </c>
      <c r="P244" s="30" t="s">
        <v>39</v>
      </c>
      <c r="Q244" s="30" t="s">
        <v>39</v>
      </c>
      <c r="R244" s="30" t="s">
        <v>39</v>
      </c>
      <c r="S244" s="30" t="s">
        <v>39</v>
      </c>
      <c r="T244" s="30" t="s">
        <v>39</v>
      </c>
      <c r="U244" s="31" t="s">
        <v>39</v>
      </c>
      <c r="V244" s="31" t="s">
        <v>39</v>
      </c>
      <c r="W244" s="31" t="s">
        <v>39</v>
      </c>
      <c r="X244" s="31" t="s">
        <v>39</v>
      </c>
      <c r="Y244" s="31" t="s">
        <v>39</v>
      </c>
      <c r="Z244" s="32" t="s">
        <v>39</v>
      </c>
      <c r="AA244" s="32" t="s">
        <v>39</v>
      </c>
      <c r="AB244" s="32" t="s">
        <v>39</v>
      </c>
      <c r="AC244" s="32" t="s">
        <v>39</v>
      </c>
      <c r="AD244" s="32" t="s">
        <v>39</v>
      </c>
      <c r="AE244" s="33" t="s">
        <v>39</v>
      </c>
      <c r="AF244" s="33" t="s">
        <v>39</v>
      </c>
      <c r="AG244" s="33" t="s">
        <v>39</v>
      </c>
      <c r="AH244" s="33" t="s">
        <v>39</v>
      </c>
      <c r="AI244" s="33" t="s">
        <v>39</v>
      </c>
      <c r="AJ244" s="34">
        <v>335</v>
      </c>
    </row>
    <row r="245" spans="1:36" ht="38.450000000000003" customHeight="1" x14ac:dyDescent="0.25">
      <c r="A245" s="25">
        <v>2021</v>
      </c>
      <c r="B245" s="26">
        <v>17470</v>
      </c>
      <c r="C245" s="27" t="s">
        <v>329</v>
      </c>
      <c r="D245" s="27" t="s">
        <v>330</v>
      </c>
      <c r="E245" s="27" t="s">
        <v>156</v>
      </c>
      <c r="F245" s="28">
        <v>266</v>
      </c>
      <c r="G245" s="28" t="s">
        <v>39</v>
      </c>
      <c r="H245" s="28" t="s">
        <v>39</v>
      </c>
      <c r="I245" s="28" t="s">
        <v>39</v>
      </c>
      <c r="J245" s="28">
        <v>266</v>
      </c>
      <c r="K245" s="29">
        <v>0</v>
      </c>
      <c r="L245" s="29" t="s">
        <v>39</v>
      </c>
      <c r="M245" s="29" t="s">
        <v>39</v>
      </c>
      <c r="N245" s="29" t="s">
        <v>39</v>
      </c>
      <c r="O245" s="29">
        <v>0</v>
      </c>
      <c r="P245" s="30">
        <v>0.16500000000000001</v>
      </c>
      <c r="Q245" s="30" t="s">
        <v>39</v>
      </c>
      <c r="R245" s="30" t="s">
        <v>39</v>
      </c>
      <c r="S245" s="30" t="s">
        <v>39</v>
      </c>
      <c r="T245" s="30">
        <v>0.16500000000000001</v>
      </c>
      <c r="U245" s="31">
        <v>0.154</v>
      </c>
      <c r="V245" s="31" t="s">
        <v>39</v>
      </c>
      <c r="W245" s="31" t="s">
        <v>39</v>
      </c>
      <c r="X245" s="31" t="s">
        <v>39</v>
      </c>
      <c r="Y245" s="31">
        <v>0.154</v>
      </c>
      <c r="Z245" s="32">
        <v>12.907999999999999</v>
      </c>
      <c r="AA245" s="32" t="s">
        <v>39</v>
      </c>
      <c r="AB245" s="32" t="s">
        <v>39</v>
      </c>
      <c r="AC245" s="32" t="s">
        <v>39</v>
      </c>
      <c r="AD245" s="32">
        <v>12.907999999999999</v>
      </c>
      <c r="AE245" s="33">
        <v>109.67700000000001</v>
      </c>
      <c r="AF245" s="33" t="s">
        <v>39</v>
      </c>
      <c r="AG245" s="33" t="s">
        <v>39</v>
      </c>
      <c r="AH245" s="33" t="s">
        <v>39</v>
      </c>
      <c r="AI245" s="33">
        <v>109.67700000000001</v>
      </c>
      <c r="AJ245" s="34" t="s">
        <v>39</v>
      </c>
    </row>
    <row r="246" spans="1:36" ht="63.6" customHeight="1" x14ac:dyDescent="0.25">
      <c r="A246" s="25">
        <v>2021</v>
      </c>
      <c r="B246" s="26">
        <v>17539</v>
      </c>
      <c r="C246" s="27" t="s">
        <v>331</v>
      </c>
      <c r="D246" s="27" t="s">
        <v>35</v>
      </c>
      <c r="E246" s="27" t="s">
        <v>332</v>
      </c>
      <c r="F246" s="28">
        <v>0</v>
      </c>
      <c r="G246" s="28">
        <v>12</v>
      </c>
      <c r="H246" s="28">
        <v>24</v>
      </c>
      <c r="I246" s="28">
        <v>0</v>
      </c>
      <c r="J246" s="28">
        <v>36</v>
      </c>
      <c r="K246" s="29">
        <v>0</v>
      </c>
      <c r="L246" s="29">
        <v>0</v>
      </c>
      <c r="M246" s="29">
        <v>0</v>
      </c>
      <c r="N246" s="29">
        <v>0</v>
      </c>
      <c r="O246" s="29">
        <v>0</v>
      </c>
      <c r="P246" s="30">
        <v>0</v>
      </c>
      <c r="Q246" s="30">
        <v>34</v>
      </c>
      <c r="R246" s="30">
        <v>134</v>
      </c>
      <c r="S246" s="30">
        <v>0</v>
      </c>
      <c r="T246" s="30">
        <v>168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2">
        <v>0</v>
      </c>
      <c r="AA246" s="32">
        <v>301</v>
      </c>
      <c r="AB246" s="32">
        <v>5941</v>
      </c>
      <c r="AC246" s="32">
        <v>0</v>
      </c>
      <c r="AD246" s="32">
        <v>6242</v>
      </c>
      <c r="AE246" s="33">
        <v>0</v>
      </c>
      <c r="AF246" s="33">
        <v>0</v>
      </c>
      <c r="AG246" s="33">
        <v>0</v>
      </c>
      <c r="AH246" s="33">
        <v>0</v>
      </c>
      <c r="AI246" s="33">
        <v>0</v>
      </c>
      <c r="AJ246" s="34" t="s">
        <v>39</v>
      </c>
    </row>
    <row r="247" spans="1:36" ht="63.6" customHeight="1" x14ac:dyDescent="0.25">
      <c r="A247" s="25">
        <v>2021</v>
      </c>
      <c r="B247" s="26">
        <v>17543</v>
      </c>
      <c r="C247" s="27" t="s">
        <v>333</v>
      </c>
      <c r="D247" s="27" t="s">
        <v>35</v>
      </c>
      <c r="E247" s="27" t="s">
        <v>35</v>
      </c>
      <c r="F247" s="28">
        <v>0</v>
      </c>
      <c r="G247" s="28">
        <v>0</v>
      </c>
      <c r="H247" s="28">
        <v>20</v>
      </c>
      <c r="I247" s="28">
        <v>0</v>
      </c>
      <c r="J247" s="28">
        <v>20</v>
      </c>
      <c r="K247" s="29">
        <v>0</v>
      </c>
      <c r="L247" s="29">
        <v>0</v>
      </c>
      <c r="M247" s="29">
        <v>200</v>
      </c>
      <c r="N247" s="29">
        <v>0</v>
      </c>
      <c r="O247" s="29">
        <v>200</v>
      </c>
      <c r="P247" s="30">
        <v>0</v>
      </c>
      <c r="Q247" s="30">
        <v>0</v>
      </c>
      <c r="R247" s="30">
        <v>608.1</v>
      </c>
      <c r="S247" s="30">
        <v>0</v>
      </c>
      <c r="T247" s="30">
        <v>608.1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2">
        <v>0</v>
      </c>
      <c r="AA247" s="32">
        <v>0</v>
      </c>
      <c r="AB247" s="32">
        <v>106200</v>
      </c>
      <c r="AC247" s="32">
        <v>0</v>
      </c>
      <c r="AD247" s="32">
        <v>106200</v>
      </c>
      <c r="AE247" s="33">
        <v>0</v>
      </c>
      <c r="AF247" s="33">
        <v>0</v>
      </c>
      <c r="AG247" s="33">
        <v>0</v>
      </c>
      <c r="AH247" s="33">
        <v>0</v>
      </c>
      <c r="AI247" s="33">
        <v>0</v>
      </c>
      <c r="AJ247" s="34">
        <v>0</v>
      </c>
    </row>
    <row r="248" spans="1:36" ht="63.6" customHeight="1" x14ac:dyDescent="0.25">
      <c r="A248" s="25">
        <v>2021</v>
      </c>
      <c r="B248" s="26">
        <v>17572</v>
      </c>
      <c r="C248" s="27" t="s">
        <v>334</v>
      </c>
      <c r="D248" s="27" t="s">
        <v>79</v>
      </c>
      <c r="E248" s="27" t="s">
        <v>86</v>
      </c>
      <c r="F248" s="28">
        <v>1753</v>
      </c>
      <c r="G248" s="28" t="s">
        <v>39</v>
      </c>
      <c r="H248" s="28" t="s">
        <v>39</v>
      </c>
      <c r="I248" s="28" t="s">
        <v>39</v>
      </c>
      <c r="J248" s="28">
        <v>1753</v>
      </c>
      <c r="K248" s="29">
        <v>3.1</v>
      </c>
      <c r="L248" s="29" t="s">
        <v>39</v>
      </c>
      <c r="M248" s="29" t="s">
        <v>39</v>
      </c>
      <c r="N248" s="29" t="s">
        <v>39</v>
      </c>
      <c r="O248" s="29">
        <v>3.1</v>
      </c>
      <c r="P248" s="30">
        <v>65.599999999999994</v>
      </c>
      <c r="Q248" s="30" t="s">
        <v>39</v>
      </c>
      <c r="R248" s="30" t="s">
        <v>39</v>
      </c>
      <c r="S248" s="30" t="s">
        <v>39</v>
      </c>
      <c r="T248" s="30">
        <v>65.599999999999994</v>
      </c>
      <c r="U248" s="31" t="s">
        <v>39</v>
      </c>
      <c r="V248" s="31" t="s">
        <v>39</v>
      </c>
      <c r="W248" s="31" t="s">
        <v>39</v>
      </c>
      <c r="X248" s="31" t="s">
        <v>39</v>
      </c>
      <c r="Y248" s="31" t="s">
        <v>39</v>
      </c>
      <c r="Z248" s="32" t="s">
        <v>39</v>
      </c>
      <c r="AA248" s="32" t="s">
        <v>39</v>
      </c>
      <c r="AB248" s="32" t="s">
        <v>39</v>
      </c>
      <c r="AC248" s="32" t="s">
        <v>39</v>
      </c>
      <c r="AD248" s="32" t="s">
        <v>39</v>
      </c>
      <c r="AE248" s="33" t="s">
        <v>39</v>
      </c>
      <c r="AF248" s="33" t="s">
        <v>39</v>
      </c>
      <c r="AG248" s="33" t="s">
        <v>39</v>
      </c>
      <c r="AH248" s="33" t="s">
        <v>39</v>
      </c>
      <c r="AI248" s="33" t="s">
        <v>39</v>
      </c>
      <c r="AJ248" s="34" t="s">
        <v>39</v>
      </c>
    </row>
    <row r="249" spans="1:36" ht="51" customHeight="1" x14ac:dyDescent="0.25">
      <c r="A249" s="25">
        <v>2021</v>
      </c>
      <c r="B249" s="26">
        <v>17599</v>
      </c>
      <c r="C249" s="27" t="s">
        <v>335</v>
      </c>
      <c r="D249" s="27" t="s">
        <v>179</v>
      </c>
      <c r="E249" s="27" t="s">
        <v>49</v>
      </c>
      <c r="F249" s="28">
        <v>2360</v>
      </c>
      <c r="G249" s="28" t="s">
        <v>39</v>
      </c>
      <c r="H249" s="28" t="s">
        <v>39</v>
      </c>
      <c r="I249" s="28" t="s">
        <v>39</v>
      </c>
      <c r="J249" s="28">
        <v>2360</v>
      </c>
      <c r="K249" s="29">
        <v>1E-3</v>
      </c>
      <c r="L249" s="29" t="s">
        <v>39</v>
      </c>
      <c r="M249" s="29" t="s">
        <v>39</v>
      </c>
      <c r="N249" s="29" t="s">
        <v>39</v>
      </c>
      <c r="O249" s="29">
        <v>1E-3</v>
      </c>
      <c r="P249" s="30">
        <v>1.399</v>
      </c>
      <c r="Q249" s="30" t="s">
        <v>39</v>
      </c>
      <c r="R249" s="30" t="s">
        <v>39</v>
      </c>
      <c r="S249" s="30" t="s">
        <v>39</v>
      </c>
      <c r="T249" s="30">
        <v>1.399</v>
      </c>
      <c r="U249" s="31">
        <v>0.06</v>
      </c>
      <c r="V249" s="31" t="s">
        <v>39</v>
      </c>
      <c r="W249" s="31" t="s">
        <v>39</v>
      </c>
      <c r="X249" s="31" t="s">
        <v>39</v>
      </c>
      <c r="Y249" s="31">
        <v>0.06</v>
      </c>
      <c r="Z249" s="32">
        <v>50.8</v>
      </c>
      <c r="AA249" s="32" t="s">
        <v>39</v>
      </c>
      <c r="AB249" s="32" t="s">
        <v>39</v>
      </c>
      <c r="AC249" s="32" t="s">
        <v>39</v>
      </c>
      <c r="AD249" s="32">
        <v>50.8</v>
      </c>
      <c r="AE249" s="33">
        <v>35.700000000000003</v>
      </c>
      <c r="AF249" s="33" t="s">
        <v>39</v>
      </c>
      <c r="AG249" s="33" t="s">
        <v>39</v>
      </c>
      <c r="AH249" s="33" t="s">
        <v>39</v>
      </c>
      <c r="AI249" s="33">
        <v>35.700000000000003</v>
      </c>
      <c r="AJ249" s="34">
        <v>87</v>
      </c>
    </row>
    <row r="250" spans="1:36" ht="51" customHeight="1" x14ac:dyDescent="0.25">
      <c r="A250" s="25">
        <v>2021</v>
      </c>
      <c r="B250" s="26">
        <v>17609</v>
      </c>
      <c r="C250" s="27" t="s">
        <v>336</v>
      </c>
      <c r="D250" s="27" t="s">
        <v>42</v>
      </c>
      <c r="E250" s="27" t="s">
        <v>43</v>
      </c>
      <c r="F250" s="28">
        <v>222469</v>
      </c>
      <c r="G250" s="28">
        <v>7961</v>
      </c>
      <c r="H250" s="28">
        <v>1510</v>
      </c>
      <c r="I250" s="28" t="s">
        <v>39</v>
      </c>
      <c r="J250" s="28">
        <v>231940</v>
      </c>
      <c r="K250" s="29">
        <v>0</v>
      </c>
      <c r="L250" s="29">
        <v>0</v>
      </c>
      <c r="M250" s="29">
        <v>0</v>
      </c>
      <c r="N250" s="29" t="s">
        <v>39</v>
      </c>
      <c r="O250" s="29">
        <v>0</v>
      </c>
      <c r="P250" s="30">
        <v>215</v>
      </c>
      <c r="Q250" s="30">
        <v>503</v>
      </c>
      <c r="R250" s="30">
        <v>41</v>
      </c>
      <c r="S250" s="30" t="s">
        <v>39</v>
      </c>
      <c r="T250" s="30">
        <v>759</v>
      </c>
      <c r="U250" s="31">
        <v>173</v>
      </c>
      <c r="V250" s="31">
        <v>396</v>
      </c>
      <c r="W250" s="31">
        <v>30</v>
      </c>
      <c r="X250" s="31" t="s">
        <v>39</v>
      </c>
      <c r="Y250" s="31">
        <v>599</v>
      </c>
      <c r="Z250" s="32">
        <v>28257</v>
      </c>
      <c r="AA250" s="32">
        <v>66697</v>
      </c>
      <c r="AB250" s="32">
        <v>6217</v>
      </c>
      <c r="AC250" s="32" t="s">
        <v>39</v>
      </c>
      <c r="AD250" s="32">
        <v>101171</v>
      </c>
      <c r="AE250" s="33">
        <v>6816</v>
      </c>
      <c r="AF250" s="33">
        <v>627</v>
      </c>
      <c r="AG250" s="33">
        <v>360</v>
      </c>
      <c r="AH250" s="33" t="s">
        <v>39</v>
      </c>
      <c r="AI250" s="33">
        <v>7803</v>
      </c>
      <c r="AJ250" s="34" t="s">
        <v>39</v>
      </c>
    </row>
    <row r="251" spans="1:36" ht="51" customHeight="1" x14ac:dyDescent="0.25">
      <c r="A251" s="25">
        <v>2021</v>
      </c>
      <c r="B251" s="26">
        <v>17633</v>
      </c>
      <c r="C251" s="27" t="s">
        <v>337</v>
      </c>
      <c r="D251" s="27" t="s">
        <v>179</v>
      </c>
      <c r="E251" s="27" t="s">
        <v>49</v>
      </c>
      <c r="F251" s="28">
        <v>29628</v>
      </c>
      <c r="G251" s="28">
        <v>464</v>
      </c>
      <c r="H251" s="28">
        <v>1</v>
      </c>
      <c r="I251" s="28">
        <v>0</v>
      </c>
      <c r="J251" s="28">
        <v>30093</v>
      </c>
      <c r="K251" s="29">
        <v>3760</v>
      </c>
      <c r="L251" s="29">
        <v>0</v>
      </c>
      <c r="M251" s="29">
        <v>0</v>
      </c>
      <c r="N251" s="29">
        <v>0</v>
      </c>
      <c r="O251" s="29">
        <v>3760</v>
      </c>
      <c r="P251" s="30">
        <v>45.856000000000002</v>
      </c>
      <c r="Q251" s="30">
        <v>1.1000000000000001</v>
      </c>
      <c r="R251" s="30">
        <v>37.299999999999997</v>
      </c>
      <c r="S251" s="30">
        <v>0</v>
      </c>
      <c r="T251" s="30">
        <v>84.256</v>
      </c>
      <c r="U251" s="31">
        <v>9.3940000000000001</v>
      </c>
      <c r="V251" s="31">
        <v>0</v>
      </c>
      <c r="W251" s="31">
        <v>0</v>
      </c>
      <c r="X251" s="31">
        <v>0</v>
      </c>
      <c r="Y251" s="31">
        <v>9.3940000000000001</v>
      </c>
      <c r="Z251" s="32">
        <v>723.59699999999998</v>
      </c>
      <c r="AA251" s="32">
        <v>40.396999999999998</v>
      </c>
      <c r="AB251" s="32">
        <v>8.4969999999999999</v>
      </c>
      <c r="AC251" s="32">
        <v>0</v>
      </c>
      <c r="AD251" s="32">
        <v>772.49099999999999</v>
      </c>
      <c r="AE251" s="33">
        <v>560.01</v>
      </c>
      <c r="AF251" s="33">
        <v>26.97</v>
      </c>
      <c r="AG251" s="33">
        <v>12.69</v>
      </c>
      <c r="AH251" s="33">
        <v>0</v>
      </c>
      <c r="AI251" s="33">
        <v>599.66999999999996</v>
      </c>
      <c r="AJ251" s="34" t="s">
        <v>39</v>
      </c>
    </row>
    <row r="252" spans="1:36" ht="51" customHeight="1" x14ac:dyDescent="0.25">
      <c r="A252" s="25">
        <v>2021</v>
      </c>
      <c r="B252" s="26">
        <v>17637</v>
      </c>
      <c r="C252" s="27" t="s">
        <v>338</v>
      </c>
      <c r="D252" s="27" t="s">
        <v>70</v>
      </c>
      <c r="E252" s="27" t="s">
        <v>52</v>
      </c>
      <c r="F252" s="28">
        <v>38432</v>
      </c>
      <c r="G252" s="28">
        <v>94</v>
      </c>
      <c r="H252" s="28" t="s">
        <v>39</v>
      </c>
      <c r="I252" s="28" t="s">
        <v>39</v>
      </c>
      <c r="J252" s="28">
        <v>38526</v>
      </c>
      <c r="K252" s="29">
        <v>0</v>
      </c>
      <c r="L252" s="29">
        <v>0</v>
      </c>
      <c r="M252" s="29" t="s">
        <v>39</v>
      </c>
      <c r="N252" s="29" t="s">
        <v>39</v>
      </c>
      <c r="O252" s="29">
        <v>0</v>
      </c>
      <c r="P252" s="30">
        <v>38</v>
      </c>
      <c r="Q252" s="30">
        <v>14</v>
      </c>
      <c r="R252" s="30" t="s">
        <v>39</v>
      </c>
      <c r="S252" s="30" t="s">
        <v>39</v>
      </c>
      <c r="T252" s="30">
        <v>52</v>
      </c>
      <c r="U252" s="31">
        <v>38</v>
      </c>
      <c r="V252" s="31">
        <v>14</v>
      </c>
      <c r="W252" s="31" t="s">
        <v>39</v>
      </c>
      <c r="X252" s="31" t="s">
        <v>39</v>
      </c>
      <c r="Y252" s="31">
        <v>52</v>
      </c>
      <c r="Z252" s="32">
        <v>1709</v>
      </c>
      <c r="AA252" s="32">
        <v>177</v>
      </c>
      <c r="AB252" s="32" t="s">
        <v>39</v>
      </c>
      <c r="AC252" s="32" t="s">
        <v>39</v>
      </c>
      <c r="AD252" s="32">
        <v>1886</v>
      </c>
      <c r="AE252" s="33">
        <v>2725</v>
      </c>
      <c r="AF252" s="33">
        <v>910</v>
      </c>
      <c r="AG252" s="33" t="s">
        <v>39</v>
      </c>
      <c r="AH252" s="33" t="s">
        <v>39</v>
      </c>
      <c r="AI252" s="33">
        <v>3635</v>
      </c>
      <c r="AJ252" s="34" t="s">
        <v>39</v>
      </c>
    </row>
    <row r="253" spans="1:36" ht="51" customHeight="1" x14ac:dyDescent="0.25">
      <c r="A253" s="25">
        <v>2021</v>
      </c>
      <c r="B253" s="26">
        <v>17684</v>
      </c>
      <c r="C253" s="27" t="s">
        <v>339</v>
      </c>
      <c r="D253" s="27" t="s">
        <v>133</v>
      </c>
      <c r="E253" s="27" t="s">
        <v>49</v>
      </c>
      <c r="F253" s="28" t="s">
        <v>39</v>
      </c>
      <c r="G253" s="28">
        <v>5</v>
      </c>
      <c r="H253" s="28" t="s">
        <v>39</v>
      </c>
      <c r="I253" s="28" t="s">
        <v>39</v>
      </c>
      <c r="J253" s="28">
        <v>5</v>
      </c>
      <c r="K253" s="29" t="s">
        <v>39</v>
      </c>
      <c r="L253" s="29">
        <v>12</v>
      </c>
      <c r="M253" s="29" t="s">
        <v>39</v>
      </c>
      <c r="N253" s="29" t="s">
        <v>39</v>
      </c>
      <c r="O253" s="29">
        <v>12</v>
      </c>
      <c r="P253" s="30" t="s">
        <v>39</v>
      </c>
      <c r="Q253" s="30">
        <v>0.3</v>
      </c>
      <c r="R253" s="30" t="s">
        <v>39</v>
      </c>
      <c r="S253" s="30" t="s">
        <v>39</v>
      </c>
      <c r="T253" s="30">
        <v>0.3</v>
      </c>
      <c r="U253" s="31" t="s">
        <v>39</v>
      </c>
      <c r="V253" s="31">
        <v>0.3</v>
      </c>
      <c r="W253" s="31" t="s">
        <v>39</v>
      </c>
      <c r="X253" s="31" t="s">
        <v>39</v>
      </c>
      <c r="Y253" s="31">
        <v>0.3</v>
      </c>
      <c r="Z253" s="32" t="s">
        <v>39</v>
      </c>
      <c r="AA253" s="32">
        <v>3.2</v>
      </c>
      <c r="AB253" s="32" t="s">
        <v>39</v>
      </c>
      <c r="AC253" s="32" t="s">
        <v>39</v>
      </c>
      <c r="AD253" s="32">
        <v>3.2</v>
      </c>
      <c r="AE253" s="33" t="s">
        <v>39</v>
      </c>
      <c r="AF253" s="33" t="s">
        <v>39</v>
      </c>
      <c r="AG253" s="33" t="s">
        <v>39</v>
      </c>
      <c r="AH253" s="33" t="s">
        <v>39</v>
      </c>
      <c r="AI253" s="33" t="s">
        <v>39</v>
      </c>
      <c r="AJ253" s="34" t="s">
        <v>39</v>
      </c>
    </row>
    <row r="254" spans="1:36" ht="51" customHeight="1" x14ac:dyDescent="0.25">
      <c r="A254" s="25">
        <v>2021</v>
      </c>
      <c r="B254" s="26">
        <v>17692</v>
      </c>
      <c r="C254" s="27" t="s">
        <v>340</v>
      </c>
      <c r="D254" s="27" t="s">
        <v>89</v>
      </c>
      <c r="E254" s="27" t="s">
        <v>77</v>
      </c>
      <c r="F254" s="28" t="s">
        <v>39</v>
      </c>
      <c r="G254" s="28" t="s">
        <v>39</v>
      </c>
      <c r="H254" s="28">
        <v>1152</v>
      </c>
      <c r="I254" s="28" t="s">
        <v>39</v>
      </c>
      <c r="J254" s="28">
        <v>1152</v>
      </c>
      <c r="K254" s="29" t="s">
        <v>39</v>
      </c>
      <c r="L254" s="29" t="s">
        <v>39</v>
      </c>
      <c r="M254" s="29" t="s">
        <v>39</v>
      </c>
      <c r="N254" s="29" t="s">
        <v>39</v>
      </c>
      <c r="O254" s="29" t="s">
        <v>39</v>
      </c>
      <c r="P254" s="30" t="s">
        <v>39</v>
      </c>
      <c r="Q254" s="30" t="s">
        <v>39</v>
      </c>
      <c r="R254" s="30">
        <v>27.131</v>
      </c>
      <c r="S254" s="30" t="s">
        <v>39</v>
      </c>
      <c r="T254" s="30">
        <v>27.131</v>
      </c>
      <c r="U254" s="31" t="s">
        <v>39</v>
      </c>
      <c r="V254" s="31" t="s">
        <v>39</v>
      </c>
      <c r="W254" s="31">
        <v>18.14</v>
      </c>
      <c r="X254" s="31" t="s">
        <v>39</v>
      </c>
      <c r="Y254" s="31">
        <v>18.14</v>
      </c>
      <c r="Z254" s="32" t="s">
        <v>39</v>
      </c>
      <c r="AA254" s="32" t="s">
        <v>39</v>
      </c>
      <c r="AB254" s="32" t="s">
        <v>39</v>
      </c>
      <c r="AC254" s="32" t="s">
        <v>39</v>
      </c>
      <c r="AD254" s="32" t="s">
        <v>39</v>
      </c>
      <c r="AE254" s="33" t="s">
        <v>39</v>
      </c>
      <c r="AF254" s="33" t="s">
        <v>39</v>
      </c>
      <c r="AG254" s="33">
        <v>53.716000000000001</v>
      </c>
      <c r="AH254" s="33" t="s">
        <v>39</v>
      </c>
      <c r="AI254" s="33">
        <v>53.716000000000001</v>
      </c>
      <c r="AJ254" s="34" t="s">
        <v>39</v>
      </c>
    </row>
    <row r="255" spans="1:36" ht="63.6" customHeight="1" x14ac:dyDescent="0.25">
      <c r="A255" s="25">
        <v>2021</v>
      </c>
      <c r="B255" s="26">
        <v>17698</v>
      </c>
      <c r="C255" s="27" t="s">
        <v>341</v>
      </c>
      <c r="D255" s="27" t="s">
        <v>63</v>
      </c>
      <c r="E255" s="27" t="s">
        <v>77</v>
      </c>
      <c r="F255" s="28">
        <v>0</v>
      </c>
      <c r="G255" s="28">
        <v>6</v>
      </c>
      <c r="H255" s="28">
        <v>1</v>
      </c>
      <c r="I255" s="28">
        <v>0</v>
      </c>
      <c r="J255" s="28">
        <v>7</v>
      </c>
      <c r="K255" s="29">
        <v>0</v>
      </c>
      <c r="L255" s="29">
        <v>96</v>
      </c>
      <c r="M255" s="29">
        <v>9</v>
      </c>
      <c r="N255" s="29">
        <v>0</v>
      </c>
      <c r="O255" s="29">
        <v>105</v>
      </c>
      <c r="P255" s="30">
        <v>0</v>
      </c>
      <c r="Q255" s="30">
        <v>9</v>
      </c>
      <c r="R255" s="30">
        <v>1</v>
      </c>
      <c r="S255" s="30">
        <v>0</v>
      </c>
      <c r="T255" s="30">
        <v>10</v>
      </c>
      <c r="U255" s="31">
        <v>0</v>
      </c>
      <c r="V255" s="31">
        <v>5.6</v>
      </c>
      <c r="W255" s="31">
        <v>0.6</v>
      </c>
      <c r="X255" s="31">
        <v>0</v>
      </c>
      <c r="Y255" s="31">
        <v>6.2</v>
      </c>
      <c r="Z255" s="32">
        <v>0</v>
      </c>
      <c r="AA255" s="32">
        <v>136</v>
      </c>
      <c r="AB255" s="32">
        <v>14</v>
      </c>
      <c r="AC255" s="32">
        <v>0</v>
      </c>
      <c r="AD255" s="32">
        <v>150</v>
      </c>
      <c r="AE255" s="33">
        <v>0</v>
      </c>
      <c r="AF255" s="33">
        <v>23</v>
      </c>
      <c r="AG255" s="33">
        <v>2</v>
      </c>
      <c r="AH255" s="33">
        <v>0</v>
      </c>
      <c r="AI255" s="33">
        <v>25</v>
      </c>
      <c r="AJ255" s="34" t="s">
        <v>39</v>
      </c>
    </row>
    <row r="256" spans="1:36" ht="63.6" customHeight="1" x14ac:dyDescent="0.25">
      <c r="A256" s="25">
        <v>2021</v>
      </c>
      <c r="B256" s="26">
        <v>17698</v>
      </c>
      <c r="C256" s="27" t="s">
        <v>341</v>
      </c>
      <c r="D256" s="27" t="s">
        <v>67</v>
      </c>
      <c r="E256" s="27" t="s">
        <v>77</v>
      </c>
      <c r="F256" s="28">
        <v>0</v>
      </c>
      <c r="G256" s="28">
        <v>6</v>
      </c>
      <c r="H256" s="28">
        <v>0</v>
      </c>
      <c r="I256" s="28">
        <v>0</v>
      </c>
      <c r="J256" s="28">
        <v>6</v>
      </c>
      <c r="K256" s="29">
        <v>0</v>
      </c>
      <c r="L256" s="29">
        <v>65</v>
      </c>
      <c r="M256" s="29">
        <v>0</v>
      </c>
      <c r="N256" s="29">
        <v>0</v>
      </c>
      <c r="O256" s="29">
        <v>65</v>
      </c>
      <c r="P256" s="30">
        <v>0</v>
      </c>
      <c r="Q256" s="30">
        <v>5</v>
      </c>
      <c r="R256" s="30">
        <v>0</v>
      </c>
      <c r="S256" s="30">
        <v>0</v>
      </c>
      <c r="T256" s="30">
        <v>5</v>
      </c>
      <c r="U256" s="31">
        <v>0</v>
      </c>
      <c r="V256" s="31">
        <v>3.8</v>
      </c>
      <c r="W256" s="31">
        <v>0</v>
      </c>
      <c r="X256" s="31">
        <v>0</v>
      </c>
      <c r="Y256" s="31">
        <v>3.8</v>
      </c>
      <c r="Z256" s="32">
        <v>0</v>
      </c>
      <c r="AA256" s="32">
        <v>113</v>
      </c>
      <c r="AB256" s="32">
        <v>0</v>
      </c>
      <c r="AC256" s="32">
        <v>0</v>
      </c>
      <c r="AD256" s="32">
        <v>113</v>
      </c>
      <c r="AE256" s="33">
        <v>0</v>
      </c>
      <c r="AF256" s="33">
        <v>19</v>
      </c>
      <c r="AG256" s="33">
        <v>0</v>
      </c>
      <c r="AH256" s="33">
        <v>0</v>
      </c>
      <c r="AI256" s="33">
        <v>19</v>
      </c>
      <c r="AJ256" s="34" t="s">
        <v>39</v>
      </c>
    </row>
    <row r="257" spans="1:36" ht="63.6" customHeight="1" x14ac:dyDescent="0.25">
      <c r="A257" s="25">
        <v>2021</v>
      </c>
      <c r="B257" s="26">
        <v>17718</v>
      </c>
      <c r="C257" s="27" t="s">
        <v>342</v>
      </c>
      <c r="D257" s="27" t="s">
        <v>67</v>
      </c>
      <c r="E257" s="27" t="s">
        <v>77</v>
      </c>
      <c r="F257" s="28">
        <v>7425</v>
      </c>
      <c r="G257" s="28">
        <v>260</v>
      </c>
      <c r="H257" s="28" t="s">
        <v>39</v>
      </c>
      <c r="I257" s="28" t="s">
        <v>39</v>
      </c>
      <c r="J257" s="28">
        <v>7685</v>
      </c>
      <c r="K257" s="29">
        <v>0</v>
      </c>
      <c r="L257" s="29">
        <v>0</v>
      </c>
      <c r="M257" s="29" t="s">
        <v>39</v>
      </c>
      <c r="N257" s="29" t="s">
        <v>39</v>
      </c>
      <c r="O257" s="29">
        <v>0</v>
      </c>
      <c r="P257" s="30">
        <v>10.422000000000001</v>
      </c>
      <c r="Q257" s="30">
        <v>1.9159999999999999</v>
      </c>
      <c r="R257" s="30" t="s">
        <v>39</v>
      </c>
      <c r="S257" s="30" t="s">
        <v>39</v>
      </c>
      <c r="T257" s="30">
        <v>12.337999999999999</v>
      </c>
      <c r="U257" s="31">
        <v>0</v>
      </c>
      <c r="V257" s="31">
        <v>0</v>
      </c>
      <c r="W257" s="31" t="s">
        <v>39</v>
      </c>
      <c r="X257" s="31" t="s">
        <v>39</v>
      </c>
      <c r="Y257" s="31">
        <v>0</v>
      </c>
      <c r="Z257" s="32">
        <v>395.745</v>
      </c>
      <c r="AA257" s="32">
        <v>102.76</v>
      </c>
      <c r="AB257" s="32" t="s">
        <v>39</v>
      </c>
      <c r="AC257" s="32" t="s">
        <v>39</v>
      </c>
      <c r="AD257" s="32">
        <v>498.505</v>
      </c>
      <c r="AE257" s="33">
        <v>127.075</v>
      </c>
      <c r="AF257" s="33">
        <v>3.13</v>
      </c>
      <c r="AG257" s="33" t="s">
        <v>39</v>
      </c>
      <c r="AH257" s="33" t="s">
        <v>39</v>
      </c>
      <c r="AI257" s="33">
        <v>130.20500000000001</v>
      </c>
      <c r="AJ257" s="34" t="s">
        <v>39</v>
      </c>
    </row>
    <row r="258" spans="1:36" ht="51" customHeight="1" x14ac:dyDescent="0.25">
      <c r="A258" s="25">
        <v>2021</v>
      </c>
      <c r="B258" s="26">
        <v>17832</v>
      </c>
      <c r="C258" s="27" t="s">
        <v>343</v>
      </c>
      <c r="D258" s="27" t="s">
        <v>54</v>
      </c>
      <c r="E258" s="27" t="s">
        <v>38</v>
      </c>
      <c r="F258" s="28">
        <v>100139</v>
      </c>
      <c r="G258" s="28">
        <v>4236</v>
      </c>
      <c r="H258" s="28">
        <v>43</v>
      </c>
      <c r="I258" s="28" t="s">
        <v>39</v>
      </c>
      <c r="J258" s="28">
        <v>104418</v>
      </c>
      <c r="K258" s="29" t="s">
        <v>39</v>
      </c>
      <c r="L258" s="29" t="s">
        <v>39</v>
      </c>
      <c r="M258" s="29" t="s">
        <v>39</v>
      </c>
      <c r="N258" s="29" t="s">
        <v>39</v>
      </c>
      <c r="O258" s="29" t="s">
        <v>39</v>
      </c>
      <c r="P258" s="30" t="s">
        <v>39</v>
      </c>
      <c r="Q258" s="30" t="s">
        <v>39</v>
      </c>
      <c r="R258" s="30" t="s">
        <v>39</v>
      </c>
      <c r="S258" s="30" t="s">
        <v>39</v>
      </c>
      <c r="T258" s="30" t="s">
        <v>39</v>
      </c>
      <c r="U258" s="31" t="s">
        <v>39</v>
      </c>
      <c r="V258" s="31" t="s">
        <v>39</v>
      </c>
      <c r="W258" s="31" t="s">
        <v>39</v>
      </c>
      <c r="X258" s="31" t="s">
        <v>39</v>
      </c>
      <c r="Y258" s="31" t="s">
        <v>39</v>
      </c>
      <c r="Z258" s="32" t="s">
        <v>39</v>
      </c>
      <c r="AA258" s="32" t="s">
        <v>39</v>
      </c>
      <c r="AB258" s="32" t="s">
        <v>39</v>
      </c>
      <c r="AC258" s="32" t="s">
        <v>39</v>
      </c>
      <c r="AD258" s="32" t="s">
        <v>39</v>
      </c>
      <c r="AE258" s="33" t="s">
        <v>39</v>
      </c>
      <c r="AF258" s="33" t="s">
        <v>39</v>
      </c>
      <c r="AG258" s="33" t="s">
        <v>39</v>
      </c>
      <c r="AH258" s="33" t="s">
        <v>39</v>
      </c>
      <c r="AI258" s="33" t="s">
        <v>39</v>
      </c>
      <c r="AJ258" s="34" t="s">
        <v>39</v>
      </c>
    </row>
    <row r="259" spans="1:36" ht="38.450000000000003" customHeight="1" x14ac:dyDescent="0.25">
      <c r="A259" s="25">
        <v>2021</v>
      </c>
      <c r="B259" s="26">
        <v>18087</v>
      </c>
      <c r="C259" s="27" t="s">
        <v>344</v>
      </c>
      <c r="D259" s="27" t="s">
        <v>139</v>
      </c>
      <c r="E259" s="27" t="s">
        <v>113</v>
      </c>
      <c r="F259" s="28">
        <v>169</v>
      </c>
      <c r="G259" s="28">
        <v>3</v>
      </c>
      <c r="H259" s="28" t="s">
        <v>39</v>
      </c>
      <c r="I259" s="28" t="s">
        <v>39</v>
      </c>
      <c r="J259" s="28">
        <v>172</v>
      </c>
      <c r="K259" s="29">
        <v>3.83</v>
      </c>
      <c r="L259" s="29">
        <v>32</v>
      </c>
      <c r="M259" s="29" t="s">
        <v>39</v>
      </c>
      <c r="N259" s="29" t="s">
        <v>39</v>
      </c>
      <c r="O259" s="29">
        <v>35.83</v>
      </c>
      <c r="P259" s="30">
        <v>0.16900000000000001</v>
      </c>
      <c r="Q259" s="30">
        <v>1.9</v>
      </c>
      <c r="R259" s="30" t="s">
        <v>39</v>
      </c>
      <c r="S259" s="30" t="s">
        <v>39</v>
      </c>
      <c r="T259" s="30">
        <v>2.069</v>
      </c>
      <c r="U259" s="31">
        <v>0.114</v>
      </c>
      <c r="V259" s="31">
        <v>1.6</v>
      </c>
      <c r="W259" s="31" t="s">
        <v>39</v>
      </c>
      <c r="X259" s="31" t="s">
        <v>39</v>
      </c>
      <c r="Y259" s="31">
        <v>1.714</v>
      </c>
      <c r="Z259" s="32" t="s">
        <v>39</v>
      </c>
      <c r="AA259" s="32" t="s">
        <v>39</v>
      </c>
      <c r="AB259" s="32" t="s">
        <v>39</v>
      </c>
      <c r="AC259" s="32" t="s">
        <v>39</v>
      </c>
      <c r="AD259" s="32" t="s">
        <v>39</v>
      </c>
      <c r="AE259" s="33" t="s">
        <v>39</v>
      </c>
      <c r="AF259" s="33" t="s">
        <v>39</v>
      </c>
      <c r="AG259" s="33" t="s">
        <v>39</v>
      </c>
      <c r="AH259" s="33" t="s">
        <v>39</v>
      </c>
      <c r="AI259" s="33" t="s">
        <v>39</v>
      </c>
      <c r="AJ259" s="34" t="s">
        <v>39</v>
      </c>
    </row>
    <row r="260" spans="1:36" ht="38.450000000000003" customHeight="1" x14ac:dyDescent="0.25">
      <c r="A260" s="25">
        <v>2021</v>
      </c>
      <c r="B260" s="26">
        <v>18125</v>
      </c>
      <c r="C260" s="27" t="s">
        <v>345</v>
      </c>
      <c r="D260" s="27" t="s">
        <v>169</v>
      </c>
      <c r="E260" s="27" t="s">
        <v>77</v>
      </c>
      <c r="F260" s="28" t="s">
        <v>39</v>
      </c>
      <c r="G260" s="28">
        <v>1</v>
      </c>
      <c r="H260" s="28" t="s">
        <v>39</v>
      </c>
      <c r="I260" s="28" t="s">
        <v>39</v>
      </c>
      <c r="J260" s="28">
        <v>1</v>
      </c>
      <c r="K260" s="29" t="s">
        <v>39</v>
      </c>
      <c r="L260" s="29">
        <v>876</v>
      </c>
      <c r="M260" s="29" t="s">
        <v>39</v>
      </c>
      <c r="N260" s="29" t="s">
        <v>39</v>
      </c>
      <c r="O260" s="29">
        <v>876</v>
      </c>
      <c r="P260" s="30" t="s">
        <v>39</v>
      </c>
      <c r="Q260" s="30">
        <v>2</v>
      </c>
      <c r="R260" s="30" t="s">
        <v>39</v>
      </c>
      <c r="S260" s="30" t="s">
        <v>39</v>
      </c>
      <c r="T260" s="30">
        <v>2</v>
      </c>
      <c r="U260" s="31" t="s">
        <v>39</v>
      </c>
      <c r="V260" s="31">
        <v>1</v>
      </c>
      <c r="W260" s="31" t="s">
        <v>39</v>
      </c>
      <c r="X260" s="31" t="s">
        <v>39</v>
      </c>
      <c r="Y260" s="31">
        <v>1</v>
      </c>
      <c r="Z260" s="32" t="s">
        <v>39</v>
      </c>
      <c r="AA260" s="32">
        <v>41.93</v>
      </c>
      <c r="AB260" s="32" t="s">
        <v>39</v>
      </c>
      <c r="AC260" s="32" t="s">
        <v>39</v>
      </c>
      <c r="AD260" s="32">
        <v>41.93</v>
      </c>
      <c r="AE260" s="33" t="s">
        <v>39</v>
      </c>
      <c r="AF260" s="33" t="s">
        <v>39</v>
      </c>
      <c r="AG260" s="33" t="s">
        <v>39</v>
      </c>
      <c r="AH260" s="33" t="s">
        <v>39</v>
      </c>
      <c r="AI260" s="33" t="s">
        <v>39</v>
      </c>
      <c r="AJ260" s="34" t="s">
        <v>39</v>
      </c>
    </row>
    <row r="261" spans="1:36" ht="51" customHeight="1" x14ac:dyDescent="0.25">
      <c r="A261" s="25">
        <v>2021</v>
      </c>
      <c r="B261" s="26">
        <v>18203</v>
      </c>
      <c r="C261" s="27" t="s">
        <v>346</v>
      </c>
      <c r="D261" s="27" t="s">
        <v>37</v>
      </c>
      <c r="E261" s="27" t="s">
        <v>38</v>
      </c>
      <c r="F261" s="28" t="s">
        <v>39</v>
      </c>
      <c r="G261" s="28" t="s">
        <v>39</v>
      </c>
      <c r="H261" s="28">
        <v>1</v>
      </c>
      <c r="I261" s="28" t="s">
        <v>39</v>
      </c>
      <c r="J261" s="28">
        <v>1</v>
      </c>
      <c r="K261" s="29" t="s">
        <v>39</v>
      </c>
      <c r="L261" s="29" t="s">
        <v>39</v>
      </c>
      <c r="M261" s="29" t="s">
        <v>39</v>
      </c>
      <c r="N261" s="29" t="s">
        <v>39</v>
      </c>
      <c r="O261" s="29" t="s">
        <v>39</v>
      </c>
      <c r="P261" s="30" t="s">
        <v>39</v>
      </c>
      <c r="Q261" s="30" t="s">
        <v>39</v>
      </c>
      <c r="R261" s="30">
        <v>3.2</v>
      </c>
      <c r="S261" s="30" t="s">
        <v>39</v>
      </c>
      <c r="T261" s="30">
        <v>3.2</v>
      </c>
      <c r="U261" s="31" t="s">
        <v>39</v>
      </c>
      <c r="V261" s="31" t="s">
        <v>39</v>
      </c>
      <c r="W261" s="31" t="s">
        <v>39</v>
      </c>
      <c r="X261" s="31" t="s">
        <v>39</v>
      </c>
      <c r="Y261" s="31" t="s">
        <v>39</v>
      </c>
      <c r="Z261" s="32" t="s">
        <v>39</v>
      </c>
      <c r="AA261" s="32" t="s">
        <v>39</v>
      </c>
      <c r="AB261" s="32">
        <v>70.599999999999994</v>
      </c>
      <c r="AC261" s="32" t="s">
        <v>39</v>
      </c>
      <c r="AD261" s="32">
        <v>70.599999999999994</v>
      </c>
      <c r="AE261" s="33" t="s">
        <v>39</v>
      </c>
      <c r="AF261" s="33" t="s">
        <v>39</v>
      </c>
      <c r="AG261" s="33" t="s">
        <v>39</v>
      </c>
      <c r="AH261" s="33" t="s">
        <v>39</v>
      </c>
      <c r="AI261" s="33" t="s">
        <v>39</v>
      </c>
      <c r="AJ261" s="34" t="s">
        <v>39</v>
      </c>
    </row>
    <row r="262" spans="1:36" ht="51" customHeight="1" x14ac:dyDescent="0.25">
      <c r="A262" s="25">
        <v>2021</v>
      </c>
      <c r="B262" s="26">
        <v>18280</v>
      </c>
      <c r="C262" s="27" t="s">
        <v>347</v>
      </c>
      <c r="D262" s="27" t="s">
        <v>60</v>
      </c>
      <c r="E262" s="27" t="s">
        <v>348</v>
      </c>
      <c r="F262" s="28">
        <v>0</v>
      </c>
      <c r="G262" s="28">
        <v>773</v>
      </c>
      <c r="H262" s="28">
        <v>0</v>
      </c>
      <c r="I262" s="28">
        <v>0</v>
      </c>
      <c r="J262" s="28">
        <v>773</v>
      </c>
      <c r="K262" s="29">
        <v>0</v>
      </c>
      <c r="L262" s="29">
        <v>63.2</v>
      </c>
      <c r="M262" s="29">
        <v>0</v>
      </c>
      <c r="N262" s="29">
        <v>0</v>
      </c>
      <c r="O262" s="29">
        <v>63.2</v>
      </c>
      <c r="P262" s="30">
        <v>0</v>
      </c>
      <c r="Q262" s="30">
        <v>83</v>
      </c>
      <c r="R262" s="30">
        <v>0</v>
      </c>
      <c r="S262" s="30">
        <v>0</v>
      </c>
      <c r="T262" s="30">
        <v>83</v>
      </c>
      <c r="U262" s="31">
        <v>0</v>
      </c>
      <c r="V262" s="31">
        <v>15.8</v>
      </c>
      <c r="W262" s="31">
        <v>0</v>
      </c>
      <c r="X262" s="31">
        <v>0</v>
      </c>
      <c r="Y262" s="31">
        <v>15.8</v>
      </c>
      <c r="Z262" s="32">
        <v>0</v>
      </c>
      <c r="AA262" s="32">
        <v>0</v>
      </c>
      <c r="AB262" s="32">
        <v>0</v>
      </c>
      <c r="AC262" s="32">
        <v>0</v>
      </c>
      <c r="AD262" s="32">
        <v>0</v>
      </c>
      <c r="AE262" s="33">
        <v>0</v>
      </c>
      <c r="AF262" s="33">
        <v>1</v>
      </c>
      <c r="AG262" s="33">
        <v>0</v>
      </c>
      <c r="AH262" s="33">
        <v>0</v>
      </c>
      <c r="AI262" s="33">
        <v>1</v>
      </c>
      <c r="AJ262" s="34" t="s">
        <v>39</v>
      </c>
    </row>
    <row r="263" spans="1:36" ht="38.450000000000003" customHeight="1" x14ac:dyDescent="0.25">
      <c r="A263" s="25">
        <v>2021</v>
      </c>
      <c r="B263" s="26">
        <v>18304</v>
      </c>
      <c r="C263" s="27" t="s">
        <v>349</v>
      </c>
      <c r="D263" s="27" t="s">
        <v>98</v>
      </c>
      <c r="E263" s="27" t="s">
        <v>103</v>
      </c>
      <c r="F263" s="28" t="s">
        <v>39</v>
      </c>
      <c r="G263" s="28" t="s">
        <v>39</v>
      </c>
      <c r="H263" s="28">
        <v>13</v>
      </c>
      <c r="I263" s="28" t="s">
        <v>39</v>
      </c>
      <c r="J263" s="28">
        <v>13</v>
      </c>
      <c r="K263" s="29" t="s">
        <v>39</v>
      </c>
      <c r="L263" s="29" t="s">
        <v>39</v>
      </c>
      <c r="M263" s="29">
        <v>129</v>
      </c>
      <c r="N263" s="29" t="s">
        <v>39</v>
      </c>
      <c r="O263" s="29">
        <v>129</v>
      </c>
      <c r="P263" s="30" t="s">
        <v>39</v>
      </c>
      <c r="Q263" s="30" t="s">
        <v>39</v>
      </c>
      <c r="R263" s="30">
        <v>15</v>
      </c>
      <c r="S263" s="30" t="s">
        <v>39</v>
      </c>
      <c r="T263" s="30">
        <v>15</v>
      </c>
      <c r="U263" s="31" t="s">
        <v>39</v>
      </c>
      <c r="V263" s="31" t="s">
        <v>39</v>
      </c>
      <c r="W263" s="31">
        <v>13</v>
      </c>
      <c r="X263" s="31" t="s">
        <v>39</v>
      </c>
      <c r="Y263" s="31">
        <v>13</v>
      </c>
      <c r="Z263" s="32" t="s">
        <v>39</v>
      </c>
      <c r="AA263" s="32" t="s">
        <v>39</v>
      </c>
      <c r="AB263" s="32" t="s">
        <v>39</v>
      </c>
      <c r="AC263" s="32" t="s">
        <v>39</v>
      </c>
      <c r="AD263" s="32" t="s">
        <v>39</v>
      </c>
      <c r="AE263" s="33" t="s">
        <v>39</v>
      </c>
      <c r="AF263" s="33" t="s">
        <v>39</v>
      </c>
      <c r="AG263" s="33">
        <v>293</v>
      </c>
      <c r="AH263" s="33" t="s">
        <v>39</v>
      </c>
      <c r="AI263" s="33">
        <v>293</v>
      </c>
      <c r="AJ263" s="34" t="s">
        <v>39</v>
      </c>
    </row>
    <row r="264" spans="1:36" ht="38.450000000000003" customHeight="1" x14ac:dyDescent="0.25">
      <c r="A264" s="25">
        <v>2021</v>
      </c>
      <c r="B264" s="26">
        <v>18445</v>
      </c>
      <c r="C264" s="27" t="s">
        <v>350</v>
      </c>
      <c r="D264" s="27" t="s">
        <v>98</v>
      </c>
      <c r="E264" s="27" t="s">
        <v>351</v>
      </c>
      <c r="F264" s="28">
        <v>0</v>
      </c>
      <c r="G264" s="28">
        <v>4</v>
      </c>
      <c r="H264" s="28">
        <v>0</v>
      </c>
      <c r="I264" s="28" t="s">
        <v>39</v>
      </c>
      <c r="J264" s="28">
        <v>4</v>
      </c>
      <c r="K264" s="29">
        <v>0</v>
      </c>
      <c r="L264" s="29">
        <v>0</v>
      </c>
      <c r="M264" s="29">
        <v>0</v>
      </c>
      <c r="N264" s="29" t="s">
        <v>39</v>
      </c>
      <c r="O264" s="29">
        <v>0</v>
      </c>
      <c r="P264" s="30">
        <v>0</v>
      </c>
      <c r="Q264" s="30">
        <v>40.396999999999998</v>
      </c>
      <c r="R264" s="30">
        <v>0</v>
      </c>
      <c r="S264" s="30" t="s">
        <v>39</v>
      </c>
      <c r="T264" s="30">
        <v>40.396999999999998</v>
      </c>
      <c r="U264" s="31">
        <v>0</v>
      </c>
      <c r="V264" s="31">
        <v>0</v>
      </c>
      <c r="W264" s="31">
        <v>0</v>
      </c>
      <c r="X264" s="31" t="s">
        <v>39</v>
      </c>
      <c r="Y264" s="31">
        <v>0</v>
      </c>
      <c r="Z264" s="32">
        <v>0</v>
      </c>
      <c r="AA264" s="32">
        <v>4160.8149999999996</v>
      </c>
      <c r="AB264" s="32">
        <v>0</v>
      </c>
      <c r="AC264" s="32" t="s">
        <v>39</v>
      </c>
      <c r="AD264" s="32">
        <v>4160.8149999999996</v>
      </c>
      <c r="AE264" s="33">
        <v>0</v>
      </c>
      <c r="AF264" s="33">
        <v>0</v>
      </c>
      <c r="AG264" s="33">
        <v>0</v>
      </c>
      <c r="AH264" s="33" t="s">
        <v>39</v>
      </c>
      <c r="AI264" s="33">
        <v>0</v>
      </c>
      <c r="AJ264" s="34" t="s">
        <v>39</v>
      </c>
    </row>
    <row r="265" spans="1:36" ht="38.450000000000003" customHeight="1" x14ac:dyDescent="0.25">
      <c r="A265" s="25">
        <v>2021</v>
      </c>
      <c r="B265" s="26">
        <v>18454</v>
      </c>
      <c r="C265" s="27" t="s">
        <v>352</v>
      </c>
      <c r="D265" s="27" t="s">
        <v>98</v>
      </c>
      <c r="E265" s="27" t="s">
        <v>353</v>
      </c>
      <c r="F265" s="28" t="s">
        <v>39</v>
      </c>
      <c r="G265" s="28">
        <v>209</v>
      </c>
      <c r="H265" s="28">
        <v>31</v>
      </c>
      <c r="I265" s="28" t="s">
        <v>39</v>
      </c>
      <c r="J265" s="28">
        <v>240</v>
      </c>
      <c r="K265" s="29" t="s">
        <v>39</v>
      </c>
      <c r="L265" s="29">
        <v>8951</v>
      </c>
      <c r="M265" s="29">
        <v>36707</v>
      </c>
      <c r="N265" s="29" t="s">
        <v>39</v>
      </c>
      <c r="O265" s="29">
        <v>45658</v>
      </c>
      <c r="P265" s="30" t="s">
        <v>39</v>
      </c>
      <c r="Q265" s="30">
        <v>97.603999999999999</v>
      </c>
      <c r="R265" s="30">
        <v>95</v>
      </c>
      <c r="S265" s="30" t="s">
        <v>39</v>
      </c>
      <c r="T265" s="30">
        <v>192.60400000000001</v>
      </c>
      <c r="U265" s="31" t="s">
        <v>39</v>
      </c>
      <c r="V265" s="31" t="s">
        <v>39</v>
      </c>
      <c r="W265" s="31" t="s">
        <v>39</v>
      </c>
      <c r="X265" s="31" t="s">
        <v>39</v>
      </c>
      <c r="Y265" s="31" t="s">
        <v>39</v>
      </c>
      <c r="Z265" s="32" t="s">
        <v>39</v>
      </c>
      <c r="AA265" s="32">
        <v>6127</v>
      </c>
      <c r="AB265" s="32">
        <v>20048</v>
      </c>
      <c r="AC265" s="32" t="s">
        <v>39</v>
      </c>
      <c r="AD265" s="32">
        <v>26175</v>
      </c>
      <c r="AE265" s="33">
        <v>1996</v>
      </c>
      <c r="AF265" s="33">
        <v>245</v>
      </c>
      <c r="AG265" s="33">
        <v>31</v>
      </c>
      <c r="AH265" s="33" t="s">
        <v>39</v>
      </c>
      <c r="AI265" s="33">
        <v>2272</v>
      </c>
      <c r="AJ265" s="34" t="s">
        <v>39</v>
      </c>
    </row>
    <row r="266" spans="1:36" ht="26.1" customHeight="1" x14ac:dyDescent="0.25">
      <c r="A266" s="25">
        <v>2021</v>
      </c>
      <c r="B266" s="26">
        <v>18488</v>
      </c>
      <c r="C266" s="27" t="s">
        <v>354</v>
      </c>
      <c r="D266" s="27" t="s">
        <v>139</v>
      </c>
      <c r="E266" s="27" t="s">
        <v>113</v>
      </c>
      <c r="F266" s="28">
        <v>10</v>
      </c>
      <c r="G266" s="28" t="s">
        <v>39</v>
      </c>
      <c r="H266" s="28" t="s">
        <v>39</v>
      </c>
      <c r="I266" s="28" t="s">
        <v>39</v>
      </c>
      <c r="J266" s="28">
        <v>10</v>
      </c>
      <c r="K266" s="29">
        <v>13</v>
      </c>
      <c r="L266" s="29" t="s">
        <v>39</v>
      </c>
      <c r="M266" s="29" t="s">
        <v>39</v>
      </c>
      <c r="N266" s="29" t="s">
        <v>39</v>
      </c>
      <c r="O266" s="29">
        <v>13</v>
      </c>
      <c r="P266" s="30">
        <v>10</v>
      </c>
      <c r="Q266" s="30" t="s">
        <v>39</v>
      </c>
      <c r="R266" s="30" t="s">
        <v>39</v>
      </c>
      <c r="S266" s="30" t="s">
        <v>39</v>
      </c>
      <c r="T266" s="30">
        <v>10</v>
      </c>
      <c r="U266" s="31">
        <v>7</v>
      </c>
      <c r="V266" s="31" t="s">
        <v>39</v>
      </c>
      <c r="W266" s="31" t="s">
        <v>39</v>
      </c>
      <c r="X266" s="31" t="s">
        <v>39</v>
      </c>
      <c r="Y266" s="31">
        <v>7</v>
      </c>
      <c r="Z266" s="32">
        <v>12</v>
      </c>
      <c r="AA266" s="32" t="s">
        <v>39</v>
      </c>
      <c r="AB266" s="32" t="s">
        <v>39</v>
      </c>
      <c r="AC266" s="32" t="s">
        <v>39</v>
      </c>
      <c r="AD266" s="32">
        <v>12</v>
      </c>
      <c r="AE266" s="33" t="s">
        <v>39</v>
      </c>
      <c r="AF266" s="33" t="s">
        <v>39</v>
      </c>
      <c r="AG266" s="33" t="s">
        <v>39</v>
      </c>
      <c r="AH266" s="33" t="s">
        <v>39</v>
      </c>
      <c r="AI266" s="33" t="s">
        <v>39</v>
      </c>
      <c r="AJ266" s="34" t="s">
        <v>39</v>
      </c>
    </row>
    <row r="267" spans="1:36" ht="38.450000000000003" customHeight="1" x14ac:dyDescent="0.25">
      <c r="A267" s="25">
        <v>2021</v>
      </c>
      <c r="B267" s="26">
        <v>18642</v>
      </c>
      <c r="C267" s="27" t="s">
        <v>355</v>
      </c>
      <c r="D267" s="27" t="s">
        <v>37</v>
      </c>
      <c r="E267" s="27" t="s">
        <v>356</v>
      </c>
      <c r="F267" s="28">
        <v>0</v>
      </c>
      <c r="G267" s="28">
        <v>105</v>
      </c>
      <c r="H267" s="28">
        <v>60</v>
      </c>
      <c r="I267" s="28">
        <v>0</v>
      </c>
      <c r="J267" s="28">
        <v>165</v>
      </c>
      <c r="K267" s="29">
        <v>0</v>
      </c>
      <c r="L267" s="29">
        <v>168</v>
      </c>
      <c r="M267" s="29">
        <v>3949</v>
      </c>
      <c r="N267" s="29">
        <v>0</v>
      </c>
      <c r="O267" s="29">
        <v>4117</v>
      </c>
      <c r="P267" s="30">
        <v>0</v>
      </c>
      <c r="Q267" s="30">
        <v>4.2</v>
      </c>
      <c r="R267" s="30">
        <v>369.3</v>
      </c>
      <c r="S267" s="30">
        <v>0</v>
      </c>
      <c r="T267" s="30">
        <v>373.5</v>
      </c>
      <c r="U267" s="31">
        <v>0</v>
      </c>
      <c r="V267" s="31">
        <v>4.2</v>
      </c>
      <c r="W267" s="31">
        <v>368.8</v>
      </c>
      <c r="X267" s="31">
        <v>0</v>
      </c>
      <c r="Y267" s="31">
        <v>373</v>
      </c>
      <c r="Z267" s="32">
        <v>0</v>
      </c>
      <c r="AA267" s="32">
        <v>106</v>
      </c>
      <c r="AB267" s="32">
        <v>27187</v>
      </c>
      <c r="AC267" s="32">
        <v>0</v>
      </c>
      <c r="AD267" s="32">
        <v>27293</v>
      </c>
      <c r="AE267" s="33">
        <v>0</v>
      </c>
      <c r="AF267" s="33">
        <v>106</v>
      </c>
      <c r="AG267" s="33">
        <v>52</v>
      </c>
      <c r="AH267" s="33">
        <v>0</v>
      </c>
      <c r="AI267" s="33">
        <v>158</v>
      </c>
      <c r="AJ267" s="34" t="s">
        <v>39</v>
      </c>
    </row>
    <row r="268" spans="1:36" ht="38.450000000000003" customHeight="1" x14ac:dyDescent="0.25">
      <c r="A268" s="25">
        <v>2021</v>
      </c>
      <c r="B268" s="26">
        <v>18642</v>
      </c>
      <c r="C268" s="27" t="s">
        <v>355</v>
      </c>
      <c r="D268" s="27" t="s">
        <v>54</v>
      </c>
      <c r="E268" s="27" t="s">
        <v>356</v>
      </c>
      <c r="F268" s="28">
        <v>0</v>
      </c>
      <c r="G268" s="28">
        <v>0</v>
      </c>
      <c r="H268" s="28">
        <v>4</v>
      </c>
      <c r="I268" s="28">
        <v>0</v>
      </c>
      <c r="J268" s="28">
        <v>4</v>
      </c>
      <c r="K268" s="29">
        <v>0</v>
      </c>
      <c r="L268" s="29">
        <v>0</v>
      </c>
      <c r="M268" s="29">
        <v>186</v>
      </c>
      <c r="N268" s="29">
        <v>0</v>
      </c>
      <c r="O268" s="29">
        <v>186</v>
      </c>
      <c r="P268" s="30">
        <v>0</v>
      </c>
      <c r="Q268" s="30">
        <v>0</v>
      </c>
      <c r="R268" s="30">
        <v>17.3</v>
      </c>
      <c r="S268" s="30">
        <v>0</v>
      </c>
      <c r="T268" s="30">
        <v>17.3</v>
      </c>
      <c r="U268" s="31">
        <v>0</v>
      </c>
      <c r="V268" s="31">
        <v>0</v>
      </c>
      <c r="W268" s="31">
        <v>17.3</v>
      </c>
      <c r="X268" s="31">
        <v>0</v>
      </c>
      <c r="Y268" s="31">
        <v>17.3</v>
      </c>
      <c r="Z268" s="32">
        <v>0</v>
      </c>
      <c r="AA268" s="32">
        <v>0</v>
      </c>
      <c r="AB268" s="32">
        <v>1315</v>
      </c>
      <c r="AC268" s="32">
        <v>0</v>
      </c>
      <c r="AD268" s="32">
        <v>1315</v>
      </c>
      <c r="AE268" s="33">
        <v>0</v>
      </c>
      <c r="AF268" s="33">
        <v>0</v>
      </c>
      <c r="AG268" s="33">
        <v>0</v>
      </c>
      <c r="AH268" s="33">
        <v>0</v>
      </c>
      <c r="AI268" s="33">
        <v>0</v>
      </c>
      <c r="AJ268" s="34" t="s">
        <v>39</v>
      </c>
    </row>
    <row r="269" spans="1:36" ht="38.450000000000003" customHeight="1" x14ac:dyDescent="0.25">
      <c r="A269" s="25">
        <v>2021</v>
      </c>
      <c r="B269" s="26">
        <v>18642</v>
      </c>
      <c r="C269" s="27" t="s">
        <v>355</v>
      </c>
      <c r="D269" s="27" t="s">
        <v>142</v>
      </c>
      <c r="E269" s="27" t="s">
        <v>356</v>
      </c>
      <c r="F269" s="28">
        <v>0</v>
      </c>
      <c r="G269" s="28">
        <v>85</v>
      </c>
      <c r="H269" s="28">
        <v>49</v>
      </c>
      <c r="I269" s="28">
        <v>0</v>
      </c>
      <c r="J269" s="28">
        <v>134</v>
      </c>
      <c r="K269" s="29">
        <v>0</v>
      </c>
      <c r="L269" s="29">
        <v>112</v>
      </c>
      <c r="M269" s="29">
        <v>1134</v>
      </c>
      <c r="N269" s="29">
        <v>0</v>
      </c>
      <c r="O269" s="29">
        <v>1246</v>
      </c>
      <c r="P269" s="30">
        <v>0</v>
      </c>
      <c r="Q269" s="30">
        <v>3.1</v>
      </c>
      <c r="R269" s="30">
        <v>203.3</v>
      </c>
      <c r="S269" s="30">
        <v>0</v>
      </c>
      <c r="T269" s="30">
        <v>206.4</v>
      </c>
      <c r="U269" s="31">
        <v>0</v>
      </c>
      <c r="V269" s="31">
        <v>2.8</v>
      </c>
      <c r="W269" s="31">
        <v>133.6</v>
      </c>
      <c r="X269" s="31">
        <v>0</v>
      </c>
      <c r="Y269" s="31">
        <v>136.4</v>
      </c>
      <c r="Z269" s="32">
        <v>0</v>
      </c>
      <c r="AA269" s="32">
        <v>87</v>
      </c>
      <c r="AB269" s="32">
        <v>14217</v>
      </c>
      <c r="AC269" s="32">
        <v>0</v>
      </c>
      <c r="AD269" s="32">
        <v>14304</v>
      </c>
      <c r="AE269" s="33">
        <v>0</v>
      </c>
      <c r="AF269" s="33">
        <v>70</v>
      </c>
      <c r="AG269" s="33">
        <v>17</v>
      </c>
      <c r="AH269" s="33">
        <v>0</v>
      </c>
      <c r="AI269" s="33">
        <v>87</v>
      </c>
      <c r="AJ269" s="34" t="s">
        <v>39</v>
      </c>
    </row>
    <row r="270" spans="1:36" ht="38.450000000000003" customHeight="1" x14ac:dyDescent="0.25">
      <c r="A270" s="25">
        <v>2021</v>
      </c>
      <c r="B270" s="26">
        <v>18642</v>
      </c>
      <c r="C270" s="27" t="s">
        <v>355</v>
      </c>
      <c r="D270" s="27" t="s">
        <v>243</v>
      </c>
      <c r="E270" s="27" t="s">
        <v>356</v>
      </c>
      <c r="F270" s="28">
        <v>0</v>
      </c>
      <c r="G270" s="28">
        <v>36</v>
      </c>
      <c r="H270" s="28">
        <v>25</v>
      </c>
      <c r="I270" s="28">
        <v>0</v>
      </c>
      <c r="J270" s="28">
        <v>61</v>
      </c>
      <c r="K270" s="29">
        <v>0</v>
      </c>
      <c r="L270" s="29">
        <v>57</v>
      </c>
      <c r="M270" s="29">
        <v>512</v>
      </c>
      <c r="N270" s="29">
        <v>0</v>
      </c>
      <c r="O270" s="29">
        <v>569</v>
      </c>
      <c r="P270" s="30">
        <v>0</v>
      </c>
      <c r="Q270" s="30">
        <v>1.6</v>
      </c>
      <c r="R270" s="30">
        <v>344</v>
      </c>
      <c r="S270" s="30">
        <v>0</v>
      </c>
      <c r="T270" s="30">
        <v>345.6</v>
      </c>
      <c r="U270" s="31">
        <v>0</v>
      </c>
      <c r="V270" s="31">
        <v>1.4</v>
      </c>
      <c r="W270" s="31">
        <v>60.7</v>
      </c>
      <c r="X270" s="31">
        <v>0</v>
      </c>
      <c r="Y270" s="31">
        <v>62.1</v>
      </c>
      <c r="Z270" s="32">
        <v>0</v>
      </c>
      <c r="AA270" s="32">
        <v>44</v>
      </c>
      <c r="AB270" s="32">
        <v>20943</v>
      </c>
      <c r="AC270" s="32">
        <v>0</v>
      </c>
      <c r="AD270" s="32">
        <v>20987</v>
      </c>
      <c r="AE270" s="33">
        <v>0</v>
      </c>
      <c r="AF270" s="33">
        <v>36</v>
      </c>
      <c r="AG270" s="33">
        <v>15</v>
      </c>
      <c r="AH270" s="33">
        <v>0</v>
      </c>
      <c r="AI270" s="33">
        <v>51</v>
      </c>
      <c r="AJ270" s="34" t="s">
        <v>39</v>
      </c>
    </row>
    <row r="271" spans="1:36" ht="38.450000000000003" customHeight="1" x14ac:dyDescent="0.25">
      <c r="A271" s="25">
        <v>2021</v>
      </c>
      <c r="B271" s="26">
        <v>18642</v>
      </c>
      <c r="C271" s="27" t="s">
        <v>355</v>
      </c>
      <c r="D271" s="27" t="s">
        <v>79</v>
      </c>
      <c r="E271" s="27" t="s">
        <v>356</v>
      </c>
      <c r="F271" s="28">
        <v>0</v>
      </c>
      <c r="G271" s="28">
        <v>0</v>
      </c>
      <c r="H271" s="28">
        <v>3</v>
      </c>
      <c r="I271" s="28">
        <v>0</v>
      </c>
      <c r="J271" s="28">
        <v>3</v>
      </c>
      <c r="K271" s="29">
        <v>0</v>
      </c>
      <c r="L271" s="29">
        <v>0</v>
      </c>
      <c r="M271" s="29">
        <v>83</v>
      </c>
      <c r="N271" s="29">
        <v>0</v>
      </c>
      <c r="O271" s="29">
        <v>83</v>
      </c>
      <c r="P271" s="30">
        <v>0</v>
      </c>
      <c r="Q271" s="30">
        <v>0</v>
      </c>
      <c r="R271" s="30">
        <v>37.1</v>
      </c>
      <c r="S271" s="30">
        <v>0</v>
      </c>
      <c r="T271" s="30">
        <v>37.1</v>
      </c>
      <c r="U271" s="31">
        <v>0</v>
      </c>
      <c r="V271" s="31">
        <v>0</v>
      </c>
      <c r="W271" s="31">
        <v>31.8</v>
      </c>
      <c r="X271" s="31">
        <v>0</v>
      </c>
      <c r="Y271" s="31">
        <v>31.8</v>
      </c>
      <c r="Z271" s="32">
        <v>0</v>
      </c>
      <c r="AA271" s="32">
        <v>0</v>
      </c>
      <c r="AB271" s="32">
        <v>2011</v>
      </c>
      <c r="AC271" s="32">
        <v>0</v>
      </c>
      <c r="AD271" s="32">
        <v>2011</v>
      </c>
      <c r="AE271" s="33">
        <v>0</v>
      </c>
      <c r="AF271" s="33">
        <v>0</v>
      </c>
      <c r="AG271" s="33">
        <v>0</v>
      </c>
      <c r="AH271" s="33">
        <v>0</v>
      </c>
      <c r="AI271" s="33">
        <v>0</v>
      </c>
      <c r="AJ271" s="34" t="s">
        <v>39</v>
      </c>
    </row>
    <row r="272" spans="1:36" ht="38.450000000000003" customHeight="1" x14ac:dyDescent="0.25">
      <c r="A272" s="25">
        <v>2021</v>
      </c>
      <c r="B272" s="26">
        <v>18642</v>
      </c>
      <c r="C272" s="27" t="s">
        <v>355</v>
      </c>
      <c r="D272" s="27" t="s">
        <v>357</v>
      </c>
      <c r="E272" s="27" t="s">
        <v>356</v>
      </c>
      <c r="F272" s="28">
        <v>0</v>
      </c>
      <c r="G272" s="28">
        <v>797</v>
      </c>
      <c r="H272" s="28">
        <v>288</v>
      </c>
      <c r="I272" s="28">
        <v>0</v>
      </c>
      <c r="J272" s="28">
        <v>1085</v>
      </c>
      <c r="K272" s="29">
        <v>0</v>
      </c>
      <c r="L272" s="29">
        <v>1336</v>
      </c>
      <c r="M272" s="29">
        <v>3422</v>
      </c>
      <c r="N272" s="29">
        <v>0</v>
      </c>
      <c r="O272" s="29">
        <v>4758</v>
      </c>
      <c r="P272" s="30">
        <v>0</v>
      </c>
      <c r="Q272" s="30">
        <v>45.8</v>
      </c>
      <c r="R272" s="30">
        <v>453.7</v>
      </c>
      <c r="S272" s="30">
        <v>0</v>
      </c>
      <c r="T272" s="30">
        <v>499.5</v>
      </c>
      <c r="U272" s="31">
        <v>0</v>
      </c>
      <c r="V272" s="31">
        <v>33.4</v>
      </c>
      <c r="W272" s="31">
        <v>410.4</v>
      </c>
      <c r="X272" s="31">
        <v>0</v>
      </c>
      <c r="Y272" s="31">
        <v>443.8</v>
      </c>
      <c r="Z272" s="32">
        <v>0</v>
      </c>
      <c r="AA272" s="32">
        <v>1670</v>
      </c>
      <c r="AB272" s="32">
        <v>27044</v>
      </c>
      <c r="AC272" s="32">
        <v>0</v>
      </c>
      <c r="AD272" s="32">
        <v>28714</v>
      </c>
      <c r="AE272" s="33">
        <v>0</v>
      </c>
      <c r="AF272" s="33">
        <v>837</v>
      </c>
      <c r="AG272" s="33">
        <v>299</v>
      </c>
      <c r="AH272" s="33">
        <v>0</v>
      </c>
      <c r="AI272" s="33">
        <v>1136</v>
      </c>
      <c r="AJ272" s="34" t="s">
        <v>39</v>
      </c>
    </row>
    <row r="273" spans="1:36" ht="38.450000000000003" customHeight="1" x14ac:dyDescent="0.25">
      <c r="A273" s="25">
        <v>2021</v>
      </c>
      <c r="B273" s="26">
        <v>18642</v>
      </c>
      <c r="C273" s="27" t="s">
        <v>355</v>
      </c>
      <c r="D273" s="27" t="s">
        <v>57</v>
      </c>
      <c r="E273" s="27" t="s">
        <v>356</v>
      </c>
      <c r="F273" s="28">
        <v>0</v>
      </c>
      <c r="G273" s="28">
        <v>3</v>
      </c>
      <c r="H273" s="28">
        <v>2</v>
      </c>
      <c r="I273" s="28">
        <v>0</v>
      </c>
      <c r="J273" s="28">
        <v>5</v>
      </c>
      <c r="K273" s="29">
        <v>0</v>
      </c>
      <c r="L273" s="29">
        <v>2</v>
      </c>
      <c r="M273" s="29">
        <v>0</v>
      </c>
      <c r="N273" s="29">
        <v>0</v>
      </c>
      <c r="O273" s="29">
        <v>2</v>
      </c>
      <c r="P273" s="30">
        <v>0</v>
      </c>
      <c r="Q273" s="30">
        <v>0.1</v>
      </c>
      <c r="R273" s="30">
        <v>0</v>
      </c>
      <c r="S273" s="30">
        <v>0</v>
      </c>
      <c r="T273" s="30">
        <v>0.1</v>
      </c>
      <c r="U273" s="31">
        <v>0</v>
      </c>
      <c r="V273" s="31">
        <v>0.1</v>
      </c>
      <c r="W273" s="31">
        <v>0</v>
      </c>
      <c r="X273" s="31">
        <v>0</v>
      </c>
      <c r="Y273" s="31">
        <v>0.1</v>
      </c>
      <c r="Z273" s="32">
        <v>0</v>
      </c>
      <c r="AA273" s="32">
        <v>1</v>
      </c>
      <c r="AB273" s="32">
        <v>0</v>
      </c>
      <c r="AC273" s="32">
        <v>0</v>
      </c>
      <c r="AD273" s="32">
        <v>1</v>
      </c>
      <c r="AE273" s="33">
        <v>0</v>
      </c>
      <c r="AF273" s="33">
        <v>1</v>
      </c>
      <c r="AG273" s="33">
        <v>0</v>
      </c>
      <c r="AH273" s="33">
        <v>0</v>
      </c>
      <c r="AI273" s="33">
        <v>1</v>
      </c>
      <c r="AJ273" s="34" t="s">
        <v>39</v>
      </c>
    </row>
    <row r="274" spans="1:36" ht="51" customHeight="1" x14ac:dyDescent="0.25">
      <c r="A274" s="25">
        <v>2021</v>
      </c>
      <c r="B274" s="26">
        <v>18997</v>
      </c>
      <c r="C274" s="27" t="s">
        <v>358</v>
      </c>
      <c r="D274" s="27" t="s">
        <v>101</v>
      </c>
      <c r="E274" s="27" t="s">
        <v>52</v>
      </c>
      <c r="F274" s="28">
        <v>0</v>
      </c>
      <c r="G274" s="28">
        <v>0</v>
      </c>
      <c r="H274" s="28">
        <v>4</v>
      </c>
      <c r="I274" s="28">
        <v>0</v>
      </c>
      <c r="J274" s="28">
        <v>4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30">
        <v>0</v>
      </c>
      <c r="Q274" s="30">
        <v>0</v>
      </c>
      <c r="R274" s="30">
        <v>193.22800000000001</v>
      </c>
      <c r="S274" s="30">
        <v>0</v>
      </c>
      <c r="T274" s="30">
        <v>193.22800000000001</v>
      </c>
      <c r="U274" s="31">
        <v>0</v>
      </c>
      <c r="V274" s="31">
        <v>0</v>
      </c>
      <c r="W274" s="31">
        <v>193.22800000000001</v>
      </c>
      <c r="X274" s="31">
        <v>0</v>
      </c>
      <c r="Y274" s="31">
        <v>193.22800000000001</v>
      </c>
      <c r="Z274" s="32">
        <v>0</v>
      </c>
      <c r="AA274" s="32">
        <v>0</v>
      </c>
      <c r="AB274" s="32">
        <v>10480.476000000001</v>
      </c>
      <c r="AC274" s="32">
        <v>0</v>
      </c>
      <c r="AD274" s="32">
        <v>10480.476000000001</v>
      </c>
      <c r="AE274" s="33">
        <v>0</v>
      </c>
      <c r="AF274" s="33">
        <v>0</v>
      </c>
      <c r="AG274" s="33">
        <v>0</v>
      </c>
      <c r="AH274" s="33">
        <v>0</v>
      </c>
      <c r="AI274" s="33">
        <v>0</v>
      </c>
      <c r="AJ274" s="34" t="s">
        <v>39</v>
      </c>
    </row>
    <row r="275" spans="1:36" ht="38.450000000000003" customHeight="1" x14ac:dyDescent="0.25">
      <c r="A275" s="25">
        <v>2021</v>
      </c>
      <c r="B275" s="26">
        <v>19126</v>
      </c>
      <c r="C275" s="27" t="s">
        <v>359</v>
      </c>
      <c r="D275" s="27" t="s">
        <v>67</v>
      </c>
      <c r="E275" s="27" t="s">
        <v>68</v>
      </c>
      <c r="F275" s="28">
        <v>6411</v>
      </c>
      <c r="G275" s="28">
        <v>29</v>
      </c>
      <c r="H275" s="28">
        <v>0</v>
      </c>
      <c r="I275" s="28">
        <v>0</v>
      </c>
      <c r="J275" s="28">
        <v>6440</v>
      </c>
      <c r="K275" s="29">
        <v>87.9</v>
      </c>
      <c r="L275" s="29">
        <v>0.3</v>
      </c>
      <c r="M275" s="29">
        <v>0</v>
      </c>
      <c r="N275" s="29">
        <v>0</v>
      </c>
      <c r="O275" s="29">
        <v>88.2</v>
      </c>
      <c r="P275" s="30">
        <v>32.06</v>
      </c>
      <c r="Q275" s="30">
        <v>0.15</v>
      </c>
      <c r="R275" s="30">
        <v>0</v>
      </c>
      <c r="S275" s="30">
        <v>0</v>
      </c>
      <c r="T275" s="30">
        <v>32.21</v>
      </c>
      <c r="U275" s="31">
        <v>5.42</v>
      </c>
      <c r="V275" s="31">
        <v>0.04</v>
      </c>
      <c r="W275" s="31">
        <v>0</v>
      </c>
      <c r="X275" s="31">
        <v>0</v>
      </c>
      <c r="Y275" s="31">
        <v>5.46</v>
      </c>
      <c r="Z275" s="32" t="s">
        <v>39</v>
      </c>
      <c r="AA275" s="32" t="s">
        <v>39</v>
      </c>
      <c r="AB275" s="32" t="s">
        <v>39</v>
      </c>
      <c r="AC275" s="32" t="s">
        <v>39</v>
      </c>
      <c r="AD275" s="32" t="s">
        <v>39</v>
      </c>
      <c r="AE275" s="33" t="s">
        <v>39</v>
      </c>
      <c r="AF275" s="33" t="s">
        <v>39</v>
      </c>
      <c r="AG275" s="33" t="s">
        <v>39</v>
      </c>
      <c r="AH275" s="33" t="s">
        <v>39</v>
      </c>
      <c r="AI275" s="33" t="s">
        <v>39</v>
      </c>
      <c r="AJ275" s="34" t="s">
        <v>39</v>
      </c>
    </row>
    <row r="276" spans="1:36" ht="38.450000000000003" customHeight="1" x14ac:dyDescent="0.25">
      <c r="A276" s="25">
        <v>2021</v>
      </c>
      <c r="B276" s="26">
        <v>19157</v>
      </c>
      <c r="C276" s="27" t="s">
        <v>360</v>
      </c>
      <c r="D276" s="27" t="s">
        <v>119</v>
      </c>
      <c r="E276" s="27" t="s">
        <v>49</v>
      </c>
      <c r="F276" s="28">
        <v>2919</v>
      </c>
      <c r="G276" s="28">
        <v>189</v>
      </c>
      <c r="H276" s="28">
        <v>0</v>
      </c>
      <c r="I276" s="28">
        <v>0</v>
      </c>
      <c r="J276" s="28">
        <v>3108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30">
        <v>1.6439999999999999</v>
      </c>
      <c r="Q276" s="30">
        <v>5.3170000000000002</v>
      </c>
      <c r="R276" s="30">
        <v>0</v>
      </c>
      <c r="S276" s="30">
        <v>0</v>
      </c>
      <c r="T276" s="30">
        <v>6.9610000000000003</v>
      </c>
      <c r="U276" s="31">
        <v>1.6080000000000001</v>
      </c>
      <c r="V276" s="31">
        <v>5.2</v>
      </c>
      <c r="W276" s="31">
        <v>0</v>
      </c>
      <c r="X276" s="31">
        <v>0</v>
      </c>
      <c r="Y276" s="31">
        <v>6.8079999999999998</v>
      </c>
      <c r="Z276" s="32">
        <v>221.738</v>
      </c>
      <c r="AA276" s="32">
        <v>14.352</v>
      </c>
      <c r="AB276" s="32">
        <v>0</v>
      </c>
      <c r="AC276" s="32">
        <v>0</v>
      </c>
      <c r="AD276" s="32">
        <v>236.09</v>
      </c>
      <c r="AE276" s="33">
        <v>124.504</v>
      </c>
      <c r="AF276" s="33">
        <v>7.8940000000000001</v>
      </c>
      <c r="AG276" s="33">
        <v>0</v>
      </c>
      <c r="AH276" s="33">
        <v>0</v>
      </c>
      <c r="AI276" s="33">
        <v>132.398</v>
      </c>
      <c r="AJ276" s="34">
        <v>47</v>
      </c>
    </row>
    <row r="277" spans="1:36" ht="38.450000000000003" customHeight="1" x14ac:dyDescent="0.25">
      <c r="A277" s="25">
        <v>2021</v>
      </c>
      <c r="B277" s="26">
        <v>19157</v>
      </c>
      <c r="C277" s="27" t="s">
        <v>360</v>
      </c>
      <c r="D277" s="27" t="s">
        <v>48</v>
      </c>
      <c r="E277" s="27" t="s">
        <v>49</v>
      </c>
      <c r="F277" s="28">
        <v>5217</v>
      </c>
      <c r="G277" s="28">
        <v>337</v>
      </c>
      <c r="H277" s="28">
        <v>0</v>
      </c>
      <c r="I277" s="28">
        <v>0</v>
      </c>
      <c r="J277" s="28">
        <v>5554</v>
      </c>
      <c r="K277" s="29">
        <v>0</v>
      </c>
      <c r="L277" s="29">
        <v>0</v>
      </c>
      <c r="M277" s="29">
        <v>0</v>
      </c>
      <c r="N277" s="29">
        <v>0</v>
      </c>
      <c r="O277" s="29">
        <v>0</v>
      </c>
      <c r="P277" s="30">
        <v>2.9380000000000002</v>
      </c>
      <c r="Q277" s="30">
        <v>9.5030000000000001</v>
      </c>
      <c r="R277" s="30">
        <v>0</v>
      </c>
      <c r="S277" s="30">
        <v>0</v>
      </c>
      <c r="T277" s="30">
        <v>12.441000000000001</v>
      </c>
      <c r="U277" s="31">
        <v>2.8730000000000002</v>
      </c>
      <c r="V277" s="31">
        <v>9.2940000000000005</v>
      </c>
      <c r="W277" s="31">
        <v>0</v>
      </c>
      <c r="X277" s="31">
        <v>0</v>
      </c>
      <c r="Y277" s="31">
        <v>12.167</v>
      </c>
      <c r="Z277" s="32">
        <v>396.262</v>
      </c>
      <c r="AA277" s="32">
        <v>25.648</v>
      </c>
      <c r="AB277" s="32">
        <v>0</v>
      </c>
      <c r="AC277" s="32">
        <v>0</v>
      </c>
      <c r="AD277" s="32">
        <v>421.91</v>
      </c>
      <c r="AE277" s="33">
        <v>222.49600000000001</v>
      </c>
      <c r="AF277" s="33">
        <v>14.106</v>
      </c>
      <c r="AG277" s="33">
        <v>0</v>
      </c>
      <c r="AH277" s="33">
        <v>0</v>
      </c>
      <c r="AI277" s="33">
        <v>236.602</v>
      </c>
      <c r="AJ277" s="34">
        <v>164</v>
      </c>
    </row>
    <row r="278" spans="1:36" ht="63.6" customHeight="1" x14ac:dyDescent="0.25">
      <c r="A278" s="25">
        <v>2021</v>
      </c>
      <c r="B278" s="26">
        <v>19160</v>
      </c>
      <c r="C278" s="27" t="s">
        <v>361</v>
      </c>
      <c r="D278" s="27" t="s">
        <v>169</v>
      </c>
      <c r="E278" s="27" t="s">
        <v>77</v>
      </c>
      <c r="F278" s="28" t="s">
        <v>39</v>
      </c>
      <c r="G278" s="28" t="s">
        <v>39</v>
      </c>
      <c r="H278" s="28">
        <v>16</v>
      </c>
      <c r="I278" s="28" t="s">
        <v>39</v>
      </c>
      <c r="J278" s="28">
        <v>16</v>
      </c>
      <c r="K278" s="29" t="s">
        <v>39</v>
      </c>
      <c r="L278" s="29" t="s">
        <v>39</v>
      </c>
      <c r="M278" s="29">
        <v>285</v>
      </c>
      <c r="N278" s="29" t="s">
        <v>39</v>
      </c>
      <c r="O278" s="29">
        <v>285</v>
      </c>
      <c r="P278" s="30" t="s">
        <v>39</v>
      </c>
      <c r="Q278" s="30" t="s">
        <v>39</v>
      </c>
      <c r="R278" s="30">
        <v>0.84</v>
      </c>
      <c r="S278" s="30" t="s">
        <v>39</v>
      </c>
      <c r="T278" s="30">
        <v>0.84</v>
      </c>
      <c r="U278" s="31" t="s">
        <v>39</v>
      </c>
      <c r="V278" s="31" t="s">
        <v>39</v>
      </c>
      <c r="W278" s="31">
        <v>0.79500000000000004</v>
      </c>
      <c r="X278" s="31" t="s">
        <v>39</v>
      </c>
      <c r="Y278" s="31">
        <v>0.79500000000000004</v>
      </c>
      <c r="Z278" s="32" t="s">
        <v>39</v>
      </c>
      <c r="AA278" s="32" t="s">
        <v>39</v>
      </c>
      <c r="AB278" s="32">
        <v>4.03</v>
      </c>
      <c r="AC278" s="32" t="s">
        <v>39</v>
      </c>
      <c r="AD278" s="32">
        <v>4.03</v>
      </c>
      <c r="AE278" s="33" t="s">
        <v>39</v>
      </c>
      <c r="AF278" s="33" t="s">
        <v>39</v>
      </c>
      <c r="AG278" s="33">
        <v>1.5</v>
      </c>
      <c r="AH278" s="33" t="s">
        <v>39</v>
      </c>
      <c r="AI278" s="33">
        <v>1.5</v>
      </c>
      <c r="AJ278" s="34" t="s">
        <v>39</v>
      </c>
    </row>
    <row r="279" spans="1:36" ht="51" customHeight="1" x14ac:dyDescent="0.25">
      <c r="A279" s="25">
        <v>2021</v>
      </c>
      <c r="B279" s="26">
        <v>19189</v>
      </c>
      <c r="C279" s="27" t="s">
        <v>362</v>
      </c>
      <c r="D279" s="27" t="s">
        <v>60</v>
      </c>
      <c r="E279" s="27" t="s">
        <v>348</v>
      </c>
      <c r="F279" s="28" t="s">
        <v>39</v>
      </c>
      <c r="G279" s="28">
        <v>20</v>
      </c>
      <c r="H279" s="28">
        <v>2</v>
      </c>
      <c r="I279" s="28" t="s">
        <v>39</v>
      </c>
      <c r="J279" s="28">
        <v>22</v>
      </c>
      <c r="K279" s="29" t="s">
        <v>39</v>
      </c>
      <c r="L279" s="29" t="s">
        <v>39</v>
      </c>
      <c r="M279" s="29" t="s">
        <v>39</v>
      </c>
      <c r="N279" s="29" t="s">
        <v>39</v>
      </c>
      <c r="O279" s="29" t="s">
        <v>39</v>
      </c>
      <c r="P279" s="30" t="s">
        <v>39</v>
      </c>
      <c r="Q279" s="30">
        <v>15.45</v>
      </c>
      <c r="R279" s="30">
        <v>3.3000000000000002E-2</v>
      </c>
      <c r="S279" s="30" t="s">
        <v>39</v>
      </c>
      <c r="T279" s="30">
        <v>15.483000000000001</v>
      </c>
      <c r="U279" s="31" t="s">
        <v>39</v>
      </c>
      <c r="V279" s="31">
        <v>5.0999999999999996</v>
      </c>
      <c r="W279" s="31">
        <v>0.03</v>
      </c>
      <c r="X279" s="31" t="s">
        <v>39</v>
      </c>
      <c r="Y279" s="31">
        <v>5.13</v>
      </c>
      <c r="Z279" s="32" t="s">
        <v>39</v>
      </c>
      <c r="AA279" s="32" t="s">
        <v>39</v>
      </c>
      <c r="AB279" s="32" t="s">
        <v>39</v>
      </c>
      <c r="AC279" s="32" t="s">
        <v>39</v>
      </c>
      <c r="AD279" s="32" t="s">
        <v>39</v>
      </c>
      <c r="AE279" s="33" t="s">
        <v>39</v>
      </c>
      <c r="AF279" s="33" t="s">
        <v>39</v>
      </c>
      <c r="AG279" s="33" t="s">
        <v>39</v>
      </c>
      <c r="AH279" s="33" t="s">
        <v>39</v>
      </c>
      <c r="AI279" s="33" t="s">
        <v>39</v>
      </c>
      <c r="AJ279" s="34" t="s">
        <v>39</v>
      </c>
    </row>
    <row r="280" spans="1:36" ht="63.6" customHeight="1" x14ac:dyDescent="0.25">
      <c r="A280" s="25">
        <v>2021</v>
      </c>
      <c r="B280" s="26">
        <v>19396</v>
      </c>
      <c r="C280" s="27" t="s">
        <v>363</v>
      </c>
      <c r="D280" s="27" t="s">
        <v>116</v>
      </c>
      <c r="E280" s="27" t="s">
        <v>49</v>
      </c>
      <c r="F280" s="28">
        <v>6078</v>
      </c>
      <c r="G280" s="28" t="s">
        <v>39</v>
      </c>
      <c r="H280" s="28" t="s">
        <v>39</v>
      </c>
      <c r="I280" s="28" t="s">
        <v>39</v>
      </c>
      <c r="J280" s="28">
        <v>6078</v>
      </c>
      <c r="K280" s="29">
        <v>0</v>
      </c>
      <c r="L280" s="29" t="s">
        <v>39</v>
      </c>
      <c r="M280" s="29" t="s">
        <v>39</v>
      </c>
      <c r="N280" s="29" t="s">
        <v>39</v>
      </c>
      <c r="O280" s="29">
        <v>0</v>
      </c>
      <c r="P280" s="30">
        <v>25.6</v>
      </c>
      <c r="Q280" s="30" t="s">
        <v>39</v>
      </c>
      <c r="R280" s="30" t="s">
        <v>39</v>
      </c>
      <c r="S280" s="30" t="s">
        <v>39</v>
      </c>
      <c r="T280" s="30">
        <v>25.6</v>
      </c>
      <c r="U280" s="31">
        <v>17</v>
      </c>
      <c r="V280" s="31" t="s">
        <v>39</v>
      </c>
      <c r="W280" s="31" t="s">
        <v>39</v>
      </c>
      <c r="X280" s="31" t="s">
        <v>39</v>
      </c>
      <c r="Y280" s="31">
        <v>17</v>
      </c>
      <c r="Z280" s="32">
        <v>661.18899999999996</v>
      </c>
      <c r="AA280" s="32" t="s">
        <v>39</v>
      </c>
      <c r="AB280" s="32" t="s">
        <v>39</v>
      </c>
      <c r="AC280" s="32" t="s">
        <v>39</v>
      </c>
      <c r="AD280" s="32">
        <v>661.18899999999996</v>
      </c>
      <c r="AE280" s="33">
        <v>0</v>
      </c>
      <c r="AF280" s="33" t="s">
        <v>39</v>
      </c>
      <c r="AG280" s="33" t="s">
        <v>39</v>
      </c>
      <c r="AH280" s="33" t="s">
        <v>39</v>
      </c>
      <c r="AI280" s="33">
        <v>0</v>
      </c>
      <c r="AJ280" s="34">
        <v>43</v>
      </c>
    </row>
    <row r="281" spans="1:36" ht="51" customHeight="1" x14ac:dyDescent="0.25">
      <c r="A281" s="25">
        <v>2021</v>
      </c>
      <c r="B281" s="26">
        <v>19436</v>
      </c>
      <c r="C281" s="27" t="s">
        <v>364</v>
      </c>
      <c r="D281" s="27" t="s">
        <v>124</v>
      </c>
      <c r="E281" s="27" t="s">
        <v>49</v>
      </c>
      <c r="F281" s="28">
        <v>37129</v>
      </c>
      <c r="G281" s="28">
        <v>518</v>
      </c>
      <c r="H281" s="28">
        <v>116</v>
      </c>
      <c r="I281" s="28" t="s">
        <v>39</v>
      </c>
      <c r="J281" s="28">
        <v>37763</v>
      </c>
      <c r="K281" s="29">
        <v>312.322</v>
      </c>
      <c r="L281" s="29">
        <v>0</v>
      </c>
      <c r="M281" s="29">
        <v>0</v>
      </c>
      <c r="N281" s="29" t="s">
        <v>39</v>
      </c>
      <c r="O281" s="29">
        <v>312.322</v>
      </c>
      <c r="P281" s="30">
        <v>62.107999999999997</v>
      </c>
      <c r="Q281" s="30">
        <v>60.429000000000002</v>
      </c>
      <c r="R281" s="30">
        <v>28.062000000000001</v>
      </c>
      <c r="S281" s="30" t="s">
        <v>39</v>
      </c>
      <c r="T281" s="30">
        <v>150.59899999999999</v>
      </c>
      <c r="U281" s="31" t="s">
        <v>39</v>
      </c>
      <c r="V281" s="31" t="s">
        <v>39</v>
      </c>
      <c r="W281" s="31" t="s">
        <v>39</v>
      </c>
      <c r="X281" s="31" t="s">
        <v>39</v>
      </c>
      <c r="Y281" s="31" t="s">
        <v>39</v>
      </c>
      <c r="Z281" s="32">
        <v>1523.175</v>
      </c>
      <c r="AA281" s="32">
        <v>0</v>
      </c>
      <c r="AB281" s="32">
        <v>0</v>
      </c>
      <c r="AC281" s="32" t="s">
        <v>39</v>
      </c>
      <c r="AD281" s="32">
        <v>1523.175</v>
      </c>
      <c r="AE281" s="33">
        <v>3086.0259999999998</v>
      </c>
      <c r="AF281" s="33">
        <v>3192.2730000000001</v>
      </c>
      <c r="AG281" s="33">
        <v>1482.41</v>
      </c>
      <c r="AH281" s="33" t="s">
        <v>39</v>
      </c>
      <c r="AI281" s="33">
        <v>7760.7089999999998</v>
      </c>
      <c r="AJ281" s="34" t="s">
        <v>39</v>
      </c>
    </row>
    <row r="282" spans="1:36" ht="38.450000000000003" customHeight="1" x14ac:dyDescent="0.25">
      <c r="A282" s="25">
        <v>2021</v>
      </c>
      <c r="B282" s="26">
        <v>19446</v>
      </c>
      <c r="C282" s="27" t="s">
        <v>365</v>
      </c>
      <c r="D282" s="27" t="s">
        <v>142</v>
      </c>
      <c r="E282" s="27" t="s">
        <v>52</v>
      </c>
      <c r="F282" s="28">
        <v>12796</v>
      </c>
      <c r="G282" s="28">
        <v>8</v>
      </c>
      <c r="H282" s="28">
        <v>4</v>
      </c>
      <c r="I282" s="28" t="s">
        <v>39</v>
      </c>
      <c r="J282" s="28">
        <v>12808</v>
      </c>
      <c r="K282" s="29" t="s">
        <v>39</v>
      </c>
      <c r="L282" s="29" t="s">
        <v>39</v>
      </c>
      <c r="M282" s="29" t="s">
        <v>39</v>
      </c>
      <c r="N282" s="29" t="s">
        <v>39</v>
      </c>
      <c r="O282" s="29" t="s">
        <v>39</v>
      </c>
      <c r="P282" s="30">
        <v>12.878</v>
      </c>
      <c r="Q282" s="30">
        <v>6.851</v>
      </c>
      <c r="R282" s="30">
        <v>7.0129999999999999</v>
      </c>
      <c r="S282" s="30" t="s">
        <v>39</v>
      </c>
      <c r="T282" s="30">
        <v>26.742000000000001</v>
      </c>
      <c r="U282" s="31">
        <v>0.129</v>
      </c>
      <c r="V282" s="31" t="s">
        <v>39</v>
      </c>
      <c r="W282" s="31" t="s">
        <v>39</v>
      </c>
      <c r="X282" s="31" t="s">
        <v>39</v>
      </c>
      <c r="Y282" s="31">
        <v>0.129</v>
      </c>
      <c r="Z282" s="32">
        <v>322.78800000000001</v>
      </c>
      <c r="AA282" s="32">
        <v>491.12299999999999</v>
      </c>
      <c r="AB282" s="32" t="s">
        <v>39</v>
      </c>
      <c r="AC282" s="32" t="s">
        <v>39</v>
      </c>
      <c r="AD282" s="32">
        <v>813.91099999999994</v>
      </c>
      <c r="AE282" s="33">
        <v>884.60199999999998</v>
      </c>
      <c r="AF282" s="33">
        <v>615.51599999999996</v>
      </c>
      <c r="AG282" s="33" t="s">
        <v>39</v>
      </c>
      <c r="AH282" s="33" t="s">
        <v>39</v>
      </c>
      <c r="AI282" s="33">
        <v>1500.1179999999999</v>
      </c>
      <c r="AJ282" s="34" t="s">
        <v>39</v>
      </c>
    </row>
    <row r="283" spans="1:36" ht="63.6" customHeight="1" x14ac:dyDescent="0.25">
      <c r="A283" s="25">
        <v>2021</v>
      </c>
      <c r="B283" s="26">
        <v>19490</v>
      </c>
      <c r="C283" s="27" t="s">
        <v>366</v>
      </c>
      <c r="D283" s="27" t="s">
        <v>67</v>
      </c>
      <c r="E283" s="27" t="s">
        <v>68</v>
      </c>
      <c r="F283" s="28">
        <v>34533</v>
      </c>
      <c r="G283" s="28">
        <v>6095</v>
      </c>
      <c r="H283" s="28">
        <v>34</v>
      </c>
      <c r="I283" s="28" t="s">
        <v>39</v>
      </c>
      <c r="J283" s="28">
        <v>40662</v>
      </c>
      <c r="K283" s="29">
        <v>235.22800000000001</v>
      </c>
      <c r="L283" s="29">
        <v>97.49</v>
      </c>
      <c r="M283" s="29">
        <v>109.143</v>
      </c>
      <c r="N283" s="29" t="s">
        <v>39</v>
      </c>
      <c r="O283" s="29">
        <v>441.86099999999999</v>
      </c>
      <c r="P283" s="30">
        <v>3.0019999999999998</v>
      </c>
      <c r="Q283" s="30">
        <v>0.873</v>
      </c>
      <c r="R283" s="30">
        <v>0.97699999999999998</v>
      </c>
      <c r="S283" s="30" t="s">
        <v>39</v>
      </c>
      <c r="T283" s="30">
        <v>4.8520000000000003</v>
      </c>
      <c r="U283" s="31">
        <v>3.0019999999999998</v>
      </c>
      <c r="V283" s="31">
        <v>0.873</v>
      </c>
      <c r="W283" s="31">
        <v>0.97699999999999998</v>
      </c>
      <c r="X283" s="31" t="s">
        <v>39</v>
      </c>
      <c r="Y283" s="31">
        <v>4.8520000000000003</v>
      </c>
      <c r="Z283" s="32">
        <v>75.411000000000001</v>
      </c>
      <c r="AA283" s="32" t="s">
        <v>39</v>
      </c>
      <c r="AB283" s="32" t="s">
        <v>39</v>
      </c>
      <c r="AC283" s="32" t="s">
        <v>39</v>
      </c>
      <c r="AD283" s="32">
        <v>75.411000000000001</v>
      </c>
      <c r="AE283" s="33" t="s">
        <v>39</v>
      </c>
      <c r="AF283" s="33" t="s">
        <v>39</v>
      </c>
      <c r="AG283" s="33" t="s">
        <v>39</v>
      </c>
      <c r="AH283" s="33" t="s">
        <v>39</v>
      </c>
      <c r="AI283" s="33" t="s">
        <v>39</v>
      </c>
      <c r="AJ283" s="34" t="s">
        <v>39</v>
      </c>
    </row>
    <row r="284" spans="1:36" ht="38.450000000000003" customHeight="1" x14ac:dyDescent="0.25">
      <c r="A284" s="25">
        <v>2021</v>
      </c>
      <c r="B284" s="26">
        <v>19499</v>
      </c>
      <c r="C284" s="27" t="s">
        <v>367</v>
      </c>
      <c r="D284" s="27" t="s">
        <v>107</v>
      </c>
      <c r="E284" s="27" t="s">
        <v>186</v>
      </c>
      <c r="F284" s="28">
        <v>807</v>
      </c>
      <c r="G284" s="28">
        <v>15</v>
      </c>
      <c r="H284" s="28">
        <v>6</v>
      </c>
      <c r="I284" s="28">
        <v>0</v>
      </c>
      <c r="J284" s="28">
        <v>828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30">
        <v>1.2110000000000001</v>
      </c>
      <c r="Q284" s="30">
        <v>23.701000000000001</v>
      </c>
      <c r="R284" s="30">
        <v>20.108000000000001</v>
      </c>
      <c r="S284" s="30">
        <v>0</v>
      </c>
      <c r="T284" s="30">
        <v>45.02</v>
      </c>
      <c r="U284" s="31">
        <v>0</v>
      </c>
      <c r="V284" s="31">
        <v>14.750999999999999</v>
      </c>
      <c r="W284" s="31">
        <v>15.352</v>
      </c>
      <c r="X284" s="31">
        <v>0</v>
      </c>
      <c r="Y284" s="31">
        <v>30.103000000000002</v>
      </c>
      <c r="Z284" s="32">
        <v>14.8</v>
      </c>
      <c r="AA284" s="32">
        <v>0</v>
      </c>
      <c r="AB284" s="32">
        <v>0</v>
      </c>
      <c r="AC284" s="32">
        <v>0</v>
      </c>
      <c r="AD284" s="32">
        <v>14.8</v>
      </c>
      <c r="AE284" s="33">
        <v>55</v>
      </c>
      <c r="AF284" s="33">
        <v>609.58699999999999</v>
      </c>
      <c r="AG284" s="33">
        <v>0</v>
      </c>
      <c r="AH284" s="33">
        <v>0</v>
      </c>
      <c r="AI284" s="33">
        <v>664.58699999999999</v>
      </c>
      <c r="AJ284" s="34" t="s">
        <v>39</v>
      </c>
    </row>
    <row r="285" spans="1:36" ht="38.450000000000003" customHeight="1" x14ac:dyDescent="0.25">
      <c r="A285" s="25">
        <v>2021</v>
      </c>
      <c r="B285" s="26">
        <v>19547</v>
      </c>
      <c r="C285" s="27" t="s">
        <v>368</v>
      </c>
      <c r="D285" s="27" t="s">
        <v>182</v>
      </c>
      <c r="E285" s="27" t="s">
        <v>369</v>
      </c>
      <c r="F285" s="28">
        <v>36347</v>
      </c>
      <c r="G285" s="28">
        <v>283</v>
      </c>
      <c r="H285" s="28" t="s">
        <v>39</v>
      </c>
      <c r="I285" s="28" t="s">
        <v>39</v>
      </c>
      <c r="J285" s="28">
        <v>36630</v>
      </c>
      <c r="K285" s="29">
        <v>559.31100000000004</v>
      </c>
      <c r="L285" s="29">
        <v>1133.7249999999999</v>
      </c>
      <c r="M285" s="29" t="s">
        <v>39</v>
      </c>
      <c r="N285" s="29" t="s">
        <v>39</v>
      </c>
      <c r="O285" s="29">
        <v>1693.0360000000001</v>
      </c>
      <c r="P285" s="30">
        <v>14.772</v>
      </c>
      <c r="Q285" s="30">
        <v>15.907999999999999</v>
      </c>
      <c r="R285" s="30" t="s">
        <v>39</v>
      </c>
      <c r="S285" s="30" t="s">
        <v>39</v>
      </c>
      <c r="T285" s="30">
        <v>30.68</v>
      </c>
      <c r="U285" s="31" t="s">
        <v>39</v>
      </c>
      <c r="V285" s="31" t="s">
        <v>39</v>
      </c>
      <c r="W285" s="31" t="s">
        <v>39</v>
      </c>
      <c r="X285" s="31" t="s">
        <v>39</v>
      </c>
      <c r="Y285" s="31" t="s">
        <v>39</v>
      </c>
      <c r="Z285" s="32">
        <v>1269.8979999999999</v>
      </c>
      <c r="AA285" s="32">
        <v>2015.2270000000001</v>
      </c>
      <c r="AB285" s="32" t="s">
        <v>39</v>
      </c>
      <c r="AC285" s="32" t="s">
        <v>39</v>
      </c>
      <c r="AD285" s="32">
        <v>3285.125</v>
      </c>
      <c r="AE285" s="33">
        <v>760.101</v>
      </c>
      <c r="AF285" s="33">
        <v>326.745</v>
      </c>
      <c r="AG285" s="33" t="s">
        <v>39</v>
      </c>
      <c r="AH285" s="33" t="s">
        <v>39</v>
      </c>
      <c r="AI285" s="33">
        <v>1086.846</v>
      </c>
      <c r="AJ285" s="34" t="s">
        <v>39</v>
      </c>
    </row>
    <row r="286" spans="1:36" ht="38.450000000000003" customHeight="1" x14ac:dyDescent="0.25">
      <c r="A286" s="25">
        <v>2021</v>
      </c>
      <c r="B286" s="26">
        <v>19728</v>
      </c>
      <c r="C286" s="27" t="s">
        <v>370</v>
      </c>
      <c r="D286" s="27" t="s">
        <v>60</v>
      </c>
      <c r="E286" s="27" t="s">
        <v>371</v>
      </c>
      <c r="F286" s="28" t="s">
        <v>39</v>
      </c>
      <c r="G286" s="28">
        <v>29</v>
      </c>
      <c r="H286" s="28" t="s">
        <v>39</v>
      </c>
      <c r="I286" s="28" t="s">
        <v>39</v>
      </c>
      <c r="J286" s="28">
        <v>29</v>
      </c>
      <c r="K286" s="29" t="s">
        <v>39</v>
      </c>
      <c r="L286" s="29" t="s">
        <v>39</v>
      </c>
      <c r="M286" s="29" t="s">
        <v>39</v>
      </c>
      <c r="N286" s="29" t="s">
        <v>39</v>
      </c>
      <c r="O286" s="29" t="s">
        <v>39</v>
      </c>
      <c r="P286" s="30" t="s">
        <v>39</v>
      </c>
      <c r="Q286" s="30">
        <v>5.2649999999999997</v>
      </c>
      <c r="R286" s="30" t="s">
        <v>39</v>
      </c>
      <c r="S286" s="30" t="s">
        <v>39</v>
      </c>
      <c r="T286" s="30">
        <v>5.2649999999999997</v>
      </c>
      <c r="U286" s="31" t="s">
        <v>39</v>
      </c>
      <c r="V286" s="31">
        <v>5.2649999999999997</v>
      </c>
      <c r="W286" s="31" t="s">
        <v>39</v>
      </c>
      <c r="X286" s="31" t="s">
        <v>39</v>
      </c>
      <c r="Y286" s="31">
        <v>5.2649999999999997</v>
      </c>
      <c r="Z286" s="32" t="s">
        <v>39</v>
      </c>
      <c r="AA286" s="32" t="s">
        <v>39</v>
      </c>
      <c r="AB286" s="32" t="s">
        <v>39</v>
      </c>
      <c r="AC286" s="32" t="s">
        <v>39</v>
      </c>
      <c r="AD286" s="32" t="s">
        <v>39</v>
      </c>
      <c r="AE286" s="33" t="s">
        <v>39</v>
      </c>
      <c r="AF286" s="33">
        <v>0.64</v>
      </c>
      <c r="AG286" s="33" t="s">
        <v>39</v>
      </c>
      <c r="AH286" s="33" t="s">
        <v>39</v>
      </c>
      <c r="AI286" s="33">
        <v>0.64</v>
      </c>
      <c r="AJ286" s="34" t="s">
        <v>39</v>
      </c>
    </row>
    <row r="287" spans="1:36" ht="38.450000000000003" customHeight="1" x14ac:dyDescent="0.25">
      <c r="A287" s="25">
        <v>2021</v>
      </c>
      <c r="B287" s="26">
        <v>19790</v>
      </c>
      <c r="C287" s="27" t="s">
        <v>372</v>
      </c>
      <c r="D287" s="27" t="s">
        <v>84</v>
      </c>
      <c r="E287" s="27" t="s">
        <v>49</v>
      </c>
      <c r="F287" s="28">
        <v>3387</v>
      </c>
      <c r="G287" s="28">
        <v>376</v>
      </c>
      <c r="H287" s="28">
        <v>0</v>
      </c>
      <c r="I287" s="28">
        <v>0</v>
      </c>
      <c r="J287" s="28">
        <v>3763</v>
      </c>
      <c r="K287" s="29" t="s">
        <v>39</v>
      </c>
      <c r="L287" s="29" t="s">
        <v>39</v>
      </c>
      <c r="M287" s="29" t="s">
        <v>39</v>
      </c>
      <c r="N287" s="29" t="s">
        <v>39</v>
      </c>
      <c r="O287" s="29" t="s">
        <v>39</v>
      </c>
      <c r="P287" s="30">
        <v>15.2</v>
      </c>
      <c r="Q287" s="30">
        <v>1.7</v>
      </c>
      <c r="R287" s="30">
        <v>0</v>
      </c>
      <c r="S287" s="30">
        <v>0</v>
      </c>
      <c r="T287" s="30">
        <v>16.899999999999999</v>
      </c>
      <c r="U287" s="31">
        <v>5.9</v>
      </c>
      <c r="V287" s="31">
        <v>0.7</v>
      </c>
      <c r="W287" s="31">
        <v>0</v>
      </c>
      <c r="X287" s="31">
        <v>0</v>
      </c>
      <c r="Y287" s="31">
        <v>6.6</v>
      </c>
      <c r="Z287" s="32">
        <v>103</v>
      </c>
      <c r="AA287" s="32">
        <v>11.4</v>
      </c>
      <c r="AB287" s="32">
        <v>0</v>
      </c>
      <c r="AC287" s="32">
        <v>0</v>
      </c>
      <c r="AD287" s="32">
        <v>114.4</v>
      </c>
      <c r="AE287" s="33">
        <v>9.1</v>
      </c>
      <c r="AF287" s="33">
        <v>1</v>
      </c>
      <c r="AG287" s="33">
        <v>0</v>
      </c>
      <c r="AH287" s="33">
        <v>0</v>
      </c>
      <c r="AI287" s="33">
        <v>10.1</v>
      </c>
      <c r="AJ287" s="34" t="s">
        <v>39</v>
      </c>
    </row>
    <row r="288" spans="1:36" ht="26.1" customHeight="1" x14ac:dyDescent="0.25">
      <c r="A288" s="25">
        <v>2021</v>
      </c>
      <c r="B288" s="26">
        <v>19798</v>
      </c>
      <c r="C288" s="27" t="s">
        <v>373</v>
      </c>
      <c r="D288" s="27" t="s">
        <v>42</v>
      </c>
      <c r="E288" s="27" t="s">
        <v>43</v>
      </c>
      <c r="F288" s="28" t="s">
        <v>39</v>
      </c>
      <c r="G288" s="28" t="s">
        <v>39</v>
      </c>
      <c r="H288" s="28">
        <v>1</v>
      </c>
      <c r="I288" s="28" t="s">
        <v>39</v>
      </c>
      <c r="J288" s="28">
        <v>1</v>
      </c>
      <c r="K288" s="29" t="s">
        <v>39</v>
      </c>
      <c r="L288" s="29" t="s">
        <v>39</v>
      </c>
      <c r="M288" s="29">
        <v>0</v>
      </c>
      <c r="N288" s="29" t="s">
        <v>39</v>
      </c>
      <c r="O288" s="29">
        <v>0</v>
      </c>
      <c r="P288" s="30" t="s">
        <v>39</v>
      </c>
      <c r="Q288" s="30" t="s">
        <v>39</v>
      </c>
      <c r="R288" s="30">
        <v>12.65</v>
      </c>
      <c r="S288" s="30" t="s">
        <v>39</v>
      </c>
      <c r="T288" s="30">
        <v>12.65</v>
      </c>
      <c r="U288" s="31" t="s">
        <v>39</v>
      </c>
      <c r="V288" s="31" t="s">
        <v>39</v>
      </c>
      <c r="W288" s="31">
        <v>0</v>
      </c>
      <c r="X288" s="31" t="s">
        <v>39</v>
      </c>
      <c r="Y288" s="31">
        <v>0</v>
      </c>
      <c r="Z288" s="32" t="s">
        <v>39</v>
      </c>
      <c r="AA288" s="32" t="s">
        <v>39</v>
      </c>
      <c r="AB288" s="32">
        <v>2890.15</v>
      </c>
      <c r="AC288" s="32" t="s">
        <v>39</v>
      </c>
      <c r="AD288" s="32">
        <v>2890.15</v>
      </c>
      <c r="AE288" s="33" t="s">
        <v>39</v>
      </c>
      <c r="AF288" s="33" t="s">
        <v>39</v>
      </c>
      <c r="AG288" s="33" t="s">
        <v>39</v>
      </c>
      <c r="AH288" s="33" t="s">
        <v>39</v>
      </c>
      <c r="AI288" s="33" t="s">
        <v>39</v>
      </c>
      <c r="AJ288" s="34" t="s">
        <v>39</v>
      </c>
    </row>
    <row r="289" spans="1:36" ht="51" customHeight="1" x14ac:dyDescent="0.25">
      <c r="A289" s="25">
        <v>2021</v>
      </c>
      <c r="B289" s="26">
        <v>19876</v>
      </c>
      <c r="C289" s="27" t="s">
        <v>374</v>
      </c>
      <c r="D289" s="27" t="s">
        <v>79</v>
      </c>
      <c r="E289" s="27" t="s">
        <v>52</v>
      </c>
      <c r="F289" s="28">
        <v>2548</v>
      </c>
      <c r="G289" s="28" t="s">
        <v>39</v>
      </c>
      <c r="H289" s="28" t="s">
        <v>39</v>
      </c>
      <c r="I289" s="28" t="s">
        <v>39</v>
      </c>
      <c r="J289" s="28">
        <v>2548</v>
      </c>
      <c r="K289" s="29">
        <v>0</v>
      </c>
      <c r="L289" s="29" t="s">
        <v>39</v>
      </c>
      <c r="M289" s="29" t="s">
        <v>39</v>
      </c>
      <c r="N289" s="29" t="s">
        <v>39</v>
      </c>
      <c r="O289" s="29">
        <v>0</v>
      </c>
      <c r="P289" s="30">
        <v>1.5</v>
      </c>
      <c r="Q289" s="30" t="s">
        <v>39</v>
      </c>
      <c r="R289" s="30" t="s">
        <v>39</v>
      </c>
      <c r="S289" s="30" t="s">
        <v>39</v>
      </c>
      <c r="T289" s="30">
        <v>1.5</v>
      </c>
      <c r="U289" s="31">
        <v>1.4</v>
      </c>
      <c r="V289" s="31" t="s">
        <v>39</v>
      </c>
      <c r="W289" s="31" t="s">
        <v>39</v>
      </c>
      <c r="X289" s="31" t="s">
        <v>39</v>
      </c>
      <c r="Y289" s="31">
        <v>1.4</v>
      </c>
      <c r="Z289" s="32">
        <v>90</v>
      </c>
      <c r="AA289" s="32" t="s">
        <v>39</v>
      </c>
      <c r="AB289" s="32" t="s">
        <v>39</v>
      </c>
      <c r="AC289" s="32" t="s">
        <v>39</v>
      </c>
      <c r="AD289" s="32">
        <v>90</v>
      </c>
      <c r="AE289" s="33">
        <v>128</v>
      </c>
      <c r="AF289" s="33" t="s">
        <v>39</v>
      </c>
      <c r="AG289" s="33" t="s">
        <v>39</v>
      </c>
      <c r="AH289" s="33" t="s">
        <v>39</v>
      </c>
      <c r="AI289" s="33">
        <v>128</v>
      </c>
      <c r="AJ289" s="34">
        <v>0</v>
      </c>
    </row>
    <row r="290" spans="1:36" ht="51" customHeight="1" x14ac:dyDescent="0.25">
      <c r="A290" s="25">
        <v>2021</v>
      </c>
      <c r="B290" s="26">
        <v>19876</v>
      </c>
      <c r="C290" s="27" t="s">
        <v>374</v>
      </c>
      <c r="D290" s="27" t="s">
        <v>57</v>
      </c>
      <c r="E290" s="27" t="s">
        <v>52</v>
      </c>
      <c r="F290" s="28">
        <v>65748</v>
      </c>
      <c r="G290" s="28">
        <v>21</v>
      </c>
      <c r="H290" s="28" t="s">
        <v>39</v>
      </c>
      <c r="I290" s="28" t="s">
        <v>39</v>
      </c>
      <c r="J290" s="28">
        <v>65769</v>
      </c>
      <c r="K290" s="29">
        <v>0</v>
      </c>
      <c r="L290" s="29">
        <v>0</v>
      </c>
      <c r="M290" s="29" t="s">
        <v>39</v>
      </c>
      <c r="N290" s="29" t="s">
        <v>39</v>
      </c>
      <c r="O290" s="29">
        <v>0</v>
      </c>
      <c r="P290" s="30">
        <v>39.6</v>
      </c>
      <c r="Q290" s="30">
        <v>6.5</v>
      </c>
      <c r="R290" s="30" t="s">
        <v>39</v>
      </c>
      <c r="S290" s="30" t="s">
        <v>39</v>
      </c>
      <c r="T290" s="30">
        <v>46.1</v>
      </c>
      <c r="U290" s="31">
        <v>36.799999999999997</v>
      </c>
      <c r="V290" s="31">
        <v>6.5</v>
      </c>
      <c r="W290" s="31" t="s">
        <v>39</v>
      </c>
      <c r="X290" s="31" t="s">
        <v>39</v>
      </c>
      <c r="Y290" s="31">
        <v>43.3</v>
      </c>
      <c r="Z290" s="32">
        <v>2291</v>
      </c>
      <c r="AA290" s="32">
        <v>478</v>
      </c>
      <c r="AB290" s="32" t="s">
        <v>39</v>
      </c>
      <c r="AC290" s="32" t="s">
        <v>39</v>
      </c>
      <c r="AD290" s="32">
        <v>2769</v>
      </c>
      <c r="AE290" s="33">
        <v>3332</v>
      </c>
      <c r="AF290" s="33">
        <v>130</v>
      </c>
      <c r="AG290" s="33" t="s">
        <v>39</v>
      </c>
      <c r="AH290" s="33" t="s">
        <v>39</v>
      </c>
      <c r="AI290" s="33">
        <v>3462</v>
      </c>
      <c r="AJ290" s="34">
        <v>0</v>
      </c>
    </row>
    <row r="291" spans="1:36" ht="38.450000000000003" customHeight="1" x14ac:dyDescent="0.25">
      <c r="A291" s="25">
        <v>2021</v>
      </c>
      <c r="B291" s="26">
        <v>19896</v>
      </c>
      <c r="C291" s="27" t="s">
        <v>375</v>
      </c>
      <c r="D291" s="27" t="s">
        <v>76</v>
      </c>
      <c r="E291" s="27" t="s">
        <v>77</v>
      </c>
      <c r="F291" s="28" t="s">
        <v>39</v>
      </c>
      <c r="G291" s="28" t="s">
        <v>39</v>
      </c>
      <c r="H291" s="28" t="s">
        <v>39</v>
      </c>
      <c r="I291" s="28" t="s">
        <v>39</v>
      </c>
      <c r="J291" s="28" t="s">
        <v>39</v>
      </c>
      <c r="K291" s="29" t="s">
        <v>39</v>
      </c>
      <c r="L291" s="29" t="s">
        <v>39</v>
      </c>
      <c r="M291" s="29" t="s">
        <v>39</v>
      </c>
      <c r="N291" s="29" t="s">
        <v>39</v>
      </c>
      <c r="O291" s="29" t="s">
        <v>39</v>
      </c>
      <c r="P291" s="30" t="s">
        <v>39</v>
      </c>
      <c r="Q291" s="30" t="s">
        <v>39</v>
      </c>
      <c r="R291" s="30" t="s">
        <v>39</v>
      </c>
      <c r="S291" s="30" t="s">
        <v>39</v>
      </c>
      <c r="T291" s="30" t="s">
        <v>39</v>
      </c>
      <c r="U291" s="31" t="s">
        <v>39</v>
      </c>
      <c r="V291" s="31" t="s">
        <v>39</v>
      </c>
      <c r="W291" s="31" t="s">
        <v>39</v>
      </c>
      <c r="X291" s="31" t="s">
        <v>39</v>
      </c>
      <c r="Y291" s="31" t="s">
        <v>39</v>
      </c>
      <c r="Z291" s="32" t="s">
        <v>39</v>
      </c>
      <c r="AA291" s="32" t="s">
        <v>39</v>
      </c>
      <c r="AB291" s="32" t="s">
        <v>39</v>
      </c>
      <c r="AC291" s="32" t="s">
        <v>39</v>
      </c>
      <c r="AD291" s="32" t="s">
        <v>39</v>
      </c>
      <c r="AE291" s="33" t="s">
        <v>39</v>
      </c>
      <c r="AF291" s="33" t="s">
        <v>39</v>
      </c>
      <c r="AG291" s="33" t="s">
        <v>39</v>
      </c>
      <c r="AH291" s="33" t="s">
        <v>39</v>
      </c>
      <c r="AI291" s="33" t="s">
        <v>39</v>
      </c>
      <c r="AJ291" s="34">
        <v>10</v>
      </c>
    </row>
    <row r="292" spans="1:36" ht="38.450000000000003" customHeight="1" x14ac:dyDescent="0.25">
      <c r="A292" s="25">
        <v>2021</v>
      </c>
      <c r="B292" s="26">
        <v>19951</v>
      </c>
      <c r="C292" s="27" t="s">
        <v>376</v>
      </c>
      <c r="D292" s="27" t="s">
        <v>101</v>
      </c>
      <c r="E292" s="27" t="s">
        <v>52</v>
      </c>
      <c r="F292" s="28">
        <v>552</v>
      </c>
      <c r="G292" s="28">
        <v>0</v>
      </c>
      <c r="H292" s="28">
        <v>0</v>
      </c>
      <c r="I292" s="28" t="s">
        <v>39</v>
      </c>
      <c r="J292" s="28">
        <v>552</v>
      </c>
      <c r="K292" s="29" t="s">
        <v>39</v>
      </c>
      <c r="L292" s="29" t="s">
        <v>39</v>
      </c>
      <c r="M292" s="29" t="s">
        <v>39</v>
      </c>
      <c r="N292" s="29" t="s">
        <v>39</v>
      </c>
      <c r="O292" s="29" t="s">
        <v>39</v>
      </c>
      <c r="P292" s="30">
        <v>0.5</v>
      </c>
      <c r="Q292" s="30">
        <v>0</v>
      </c>
      <c r="R292" s="30">
        <v>0</v>
      </c>
      <c r="S292" s="30" t="s">
        <v>39</v>
      </c>
      <c r="T292" s="30">
        <v>0.5</v>
      </c>
      <c r="U292" s="31" t="s">
        <v>39</v>
      </c>
      <c r="V292" s="31" t="s">
        <v>39</v>
      </c>
      <c r="W292" s="31" t="s">
        <v>39</v>
      </c>
      <c r="X292" s="31" t="s">
        <v>39</v>
      </c>
      <c r="Y292" s="31" t="s">
        <v>39</v>
      </c>
      <c r="Z292" s="32">
        <v>22.08</v>
      </c>
      <c r="AA292" s="32" t="s">
        <v>39</v>
      </c>
      <c r="AB292" s="32" t="s">
        <v>39</v>
      </c>
      <c r="AC292" s="32" t="s">
        <v>39</v>
      </c>
      <c r="AD292" s="32">
        <v>22.08</v>
      </c>
      <c r="AE292" s="33">
        <v>53.05</v>
      </c>
      <c r="AF292" s="33" t="s">
        <v>39</v>
      </c>
      <c r="AG292" s="33" t="s">
        <v>39</v>
      </c>
      <c r="AH292" s="33" t="s">
        <v>39</v>
      </c>
      <c r="AI292" s="33">
        <v>53.05</v>
      </c>
      <c r="AJ292" s="34">
        <v>0</v>
      </c>
    </row>
    <row r="293" spans="1:36" ht="51" customHeight="1" x14ac:dyDescent="0.25">
      <c r="A293" s="25">
        <v>2021</v>
      </c>
      <c r="B293" s="26">
        <v>19981</v>
      </c>
      <c r="C293" s="27" t="s">
        <v>377</v>
      </c>
      <c r="D293" s="27" t="s">
        <v>79</v>
      </c>
      <c r="E293" s="27" t="s">
        <v>86</v>
      </c>
      <c r="F293" s="28" t="s">
        <v>39</v>
      </c>
      <c r="G293" s="28">
        <v>5</v>
      </c>
      <c r="H293" s="28">
        <v>1</v>
      </c>
      <c r="I293" s="28" t="s">
        <v>39</v>
      </c>
      <c r="J293" s="28">
        <v>6</v>
      </c>
      <c r="K293" s="29" t="s">
        <v>39</v>
      </c>
      <c r="L293" s="29">
        <v>0.182</v>
      </c>
      <c r="M293" s="29">
        <v>0.48699999999999999</v>
      </c>
      <c r="N293" s="29" t="s">
        <v>39</v>
      </c>
      <c r="O293" s="29">
        <v>0.66900000000000004</v>
      </c>
      <c r="P293" s="30" t="s">
        <v>39</v>
      </c>
      <c r="Q293" s="30">
        <v>2.81</v>
      </c>
      <c r="R293" s="30">
        <v>7.38</v>
      </c>
      <c r="S293" s="30" t="s">
        <v>39</v>
      </c>
      <c r="T293" s="30">
        <v>10.19</v>
      </c>
      <c r="U293" s="31" t="s">
        <v>39</v>
      </c>
      <c r="V293" s="31">
        <v>2.81</v>
      </c>
      <c r="W293" s="31">
        <v>7.38</v>
      </c>
      <c r="X293" s="31" t="s">
        <v>39</v>
      </c>
      <c r="Y293" s="31">
        <v>10.19</v>
      </c>
      <c r="Z293" s="32" t="s">
        <v>39</v>
      </c>
      <c r="AA293" s="32" t="s">
        <v>39</v>
      </c>
      <c r="AB293" s="32" t="s">
        <v>39</v>
      </c>
      <c r="AC293" s="32" t="s">
        <v>39</v>
      </c>
      <c r="AD293" s="32" t="s">
        <v>39</v>
      </c>
      <c r="AE293" s="33" t="s">
        <v>39</v>
      </c>
      <c r="AF293" s="33" t="s">
        <v>39</v>
      </c>
      <c r="AG293" s="33" t="s">
        <v>39</v>
      </c>
      <c r="AH293" s="33" t="s">
        <v>39</v>
      </c>
      <c r="AI293" s="33" t="s">
        <v>39</v>
      </c>
      <c r="AJ293" s="34" t="s">
        <v>39</v>
      </c>
    </row>
    <row r="294" spans="1:36" ht="51" customHeight="1" x14ac:dyDescent="0.25">
      <c r="A294" s="25">
        <v>2021</v>
      </c>
      <c r="B294" s="26">
        <v>20401</v>
      </c>
      <c r="C294" s="27" t="s">
        <v>378</v>
      </c>
      <c r="D294" s="27" t="s">
        <v>76</v>
      </c>
      <c r="E294" s="27" t="s">
        <v>77</v>
      </c>
      <c r="F294" s="28">
        <v>4132</v>
      </c>
      <c r="G294" s="28" t="s">
        <v>39</v>
      </c>
      <c r="H294" s="28" t="s">
        <v>39</v>
      </c>
      <c r="I294" s="28" t="s">
        <v>39</v>
      </c>
      <c r="J294" s="28">
        <v>4132</v>
      </c>
      <c r="K294" s="29" t="s">
        <v>39</v>
      </c>
      <c r="L294" s="29" t="s">
        <v>39</v>
      </c>
      <c r="M294" s="29" t="s">
        <v>39</v>
      </c>
      <c r="N294" s="29" t="s">
        <v>39</v>
      </c>
      <c r="O294" s="29" t="s">
        <v>39</v>
      </c>
      <c r="P294" s="30">
        <v>38.119999999999997</v>
      </c>
      <c r="Q294" s="30" t="s">
        <v>39</v>
      </c>
      <c r="R294" s="30" t="s">
        <v>39</v>
      </c>
      <c r="S294" s="30" t="s">
        <v>39</v>
      </c>
      <c r="T294" s="30">
        <v>38.119999999999997</v>
      </c>
      <c r="U294" s="31">
        <v>24.86</v>
      </c>
      <c r="V294" s="31" t="s">
        <v>39</v>
      </c>
      <c r="W294" s="31" t="s">
        <v>39</v>
      </c>
      <c r="X294" s="31" t="s">
        <v>39</v>
      </c>
      <c r="Y294" s="31">
        <v>24.86</v>
      </c>
      <c r="Z294" s="32">
        <v>35</v>
      </c>
      <c r="AA294" s="32" t="s">
        <v>39</v>
      </c>
      <c r="AB294" s="32" t="s">
        <v>39</v>
      </c>
      <c r="AC294" s="32" t="s">
        <v>39</v>
      </c>
      <c r="AD294" s="32">
        <v>35</v>
      </c>
      <c r="AE294" s="33">
        <v>84</v>
      </c>
      <c r="AF294" s="33" t="s">
        <v>39</v>
      </c>
      <c r="AG294" s="33" t="s">
        <v>39</v>
      </c>
      <c r="AH294" s="33" t="s">
        <v>39</v>
      </c>
      <c r="AI294" s="33">
        <v>84</v>
      </c>
      <c r="AJ294" s="34" t="s">
        <v>39</v>
      </c>
    </row>
    <row r="295" spans="1:36" ht="51" customHeight="1" x14ac:dyDescent="0.25">
      <c r="A295" s="25">
        <v>2021</v>
      </c>
      <c r="B295" s="26">
        <v>20404</v>
      </c>
      <c r="C295" s="27" t="s">
        <v>379</v>
      </c>
      <c r="D295" s="27" t="s">
        <v>67</v>
      </c>
      <c r="E295" s="27" t="s">
        <v>68</v>
      </c>
      <c r="F295" s="28">
        <v>0</v>
      </c>
      <c r="G295" s="28">
        <v>21</v>
      </c>
      <c r="H295" s="28">
        <v>0</v>
      </c>
      <c r="I295" s="28">
        <v>0</v>
      </c>
      <c r="J295" s="28">
        <v>21</v>
      </c>
      <c r="K295" s="29">
        <v>0</v>
      </c>
      <c r="L295" s="29">
        <v>2</v>
      </c>
      <c r="M295" s="29">
        <v>0</v>
      </c>
      <c r="N295" s="29">
        <v>0</v>
      </c>
      <c r="O295" s="29">
        <v>2</v>
      </c>
      <c r="P295" s="30">
        <v>0</v>
      </c>
      <c r="Q295" s="30">
        <v>2.2999999999999998</v>
      </c>
      <c r="R295" s="30">
        <v>0</v>
      </c>
      <c r="S295" s="30">
        <v>0</v>
      </c>
      <c r="T295" s="30">
        <v>2.2999999999999998</v>
      </c>
      <c r="U295" s="31">
        <v>0</v>
      </c>
      <c r="V295" s="31">
        <v>2.1</v>
      </c>
      <c r="W295" s="31">
        <v>0</v>
      </c>
      <c r="X295" s="31">
        <v>0</v>
      </c>
      <c r="Y295" s="31">
        <v>2.1</v>
      </c>
      <c r="Z295" s="32">
        <v>0</v>
      </c>
      <c r="AA295" s="32">
        <v>74</v>
      </c>
      <c r="AB295" s="32">
        <v>0</v>
      </c>
      <c r="AC295" s="32">
        <v>0</v>
      </c>
      <c r="AD295" s="32">
        <v>74</v>
      </c>
      <c r="AE295" s="33">
        <v>0</v>
      </c>
      <c r="AF295" s="33">
        <v>11</v>
      </c>
      <c r="AG295" s="33">
        <v>0</v>
      </c>
      <c r="AH295" s="33">
        <v>0</v>
      </c>
      <c r="AI295" s="33">
        <v>11</v>
      </c>
      <c r="AJ295" s="34">
        <v>0</v>
      </c>
    </row>
    <row r="296" spans="1:36" ht="51" customHeight="1" x14ac:dyDescent="0.25">
      <c r="A296" s="25">
        <v>2021</v>
      </c>
      <c r="B296" s="26">
        <v>20472</v>
      </c>
      <c r="C296" s="27" t="s">
        <v>380</v>
      </c>
      <c r="D296" s="27" t="s">
        <v>67</v>
      </c>
      <c r="E296" s="27" t="s">
        <v>68</v>
      </c>
      <c r="F296" s="28">
        <v>800</v>
      </c>
      <c r="G296" s="28">
        <v>34</v>
      </c>
      <c r="H296" s="28">
        <v>8</v>
      </c>
      <c r="I296" s="28" t="s">
        <v>39</v>
      </c>
      <c r="J296" s="28">
        <v>842</v>
      </c>
      <c r="K296" s="29" t="s">
        <v>39</v>
      </c>
      <c r="L296" s="29" t="s">
        <v>39</v>
      </c>
      <c r="M296" s="29" t="s">
        <v>39</v>
      </c>
      <c r="N296" s="29" t="s">
        <v>39</v>
      </c>
      <c r="O296" s="29" t="s">
        <v>39</v>
      </c>
      <c r="P296" s="30">
        <v>2.8</v>
      </c>
      <c r="Q296" s="30">
        <v>9</v>
      </c>
      <c r="R296" s="30">
        <v>15</v>
      </c>
      <c r="S296" s="30" t="s">
        <v>39</v>
      </c>
      <c r="T296" s="30">
        <v>26.8</v>
      </c>
      <c r="U296" s="31">
        <v>2.8</v>
      </c>
      <c r="V296" s="31">
        <v>5</v>
      </c>
      <c r="W296" s="31">
        <v>9</v>
      </c>
      <c r="X296" s="31" t="s">
        <v>39</v>
      </c>
      <c r="Y296" s="31">
        <v>16.8</v>
      </c>
      <c r="Z296" s="32">
        <v>150</v>
      </c>
      <c r="AA296" s="32">
        <v>120</v>
      </c>
      <c r="AB296" s="32" t="s">
        <v>39</v>
      </c>
      <c r="AC296" s="32" t="s">
        <v>39</v>
      </c>
      <c r="AD296" s="32">
        <v>270</v>
      </c>
      <c r="AE296" s="33">
        <v>65.8</v>
      </c>
      <c r="AF296" s="33">
        <v>90.9</v>
      </c>
      <c r="AG296" s="33" t="s">
        <v>39</v>
      </c>
      <c r="AH296" s="33" t="s">
        <v>39</v>
      </c>
      <c r="AI296" s="33">
        <v>156.69999999999999</v>
      </c>
      <c r="AJ296" s="34" t="s">
        <v>39</v>
      </c>
    </row>
    <row r="297" spans="1:36" ht="38.450000000000003" customHeight="1" x14ac:dyDescent="0.25">
      <c r="A297" s="25">
        <v>2021</v>
      </c>
      <c r="B297" s="26">
        <v>20477</v>
      </c>
      <c r="C297" s="27" t="s">
        <v>381</v>
      </c>
      <c r="D297" s="27" t="s">
        <v>101</v>
      </c>
      <c r="E297" s="27" t="s">
        <v>52</v>
      </c>
      <c r="F297" s="28">
        <v>723</v>
      </c>
      <c r="G297" s="28" t="s">
        <v>39</v>
      </c>
      <c r="H297" s="28" t="s">
        <v>39</v>
      </c>
      <c r="I297" s="28" t="s">
        <v>39</v>
      </c>
      <c r="J297" s="28">
        <v>723</v>
      </c>
      <c r="K297" s="29">
        <v>8.0299999999999994</v>
      </c>
      <c r="L297" s="29" t="s">
        <v>39</v>
      </c>
      <c r="M297" s="29" t="s">
        <v>39</v>
      </c>
      <c r="N297" s="29" t="s">
        <v>39</v>
      </c>
      <c r="O297" s="29">
        <v>8.0299999999999994</v>
      </c>
      <c r="P297" s="30">
        <v>1.1200000000000001</v>
      </c>
      <c r="Q297" s="30" t="s">
        <v>39</v>
      </c>
      <c r="R297" s="30" t="s">
        <v>39</v>
      </c>
      <c r="S297" s="30" t="s">
        <v>39</v>
      </c>
      <c r="T297" s="30">
        <v>1.1200000000000001</v>
      </c>
      <c r="U297" s="31">
        <v>0.90400000000000003</v>
      </c>
      <c r="V297" s="31" t="s">
        <v>39</v>
      </c>
      <c r="W297" s="31" t="s">
        <v>39</v>
      </c>
      <c r="X297" s="31" t="s">
        <v>39</v>
      </c>
      <c r="Y297" s="31">
        <v>0.90400000000000003</v>
      </c>
      <c r="Z297" s="32">
        <v>7.5</v>
      </c>
      <c r="AA297" s="32" t="s">
        <v>39</v>
      </c>
      <c r="AB297" s="32" t="s">
        <v>39</v>
      </c>
      <c r="AC297" s="32" t="s">
        <v>39</v>
      </c>
      <c r="AD297" s="32">
        <v>7.5</v>
      </c>
      <c r="AE297" s="33">
        <v>15.8</v>
      </c>
      <c r="AF297" s="33" t="s">
        <v>39</v>
      </c>
      <c r="AG297" s="33" t="s">
        <v>39</v>
      </c>
      <c r="AH297" s="33" t="s">
        <v>39</v>
      </c>
      <c r="AI297" s="33">
        <v>15.8</v>
      </c>
      <c r="AJ297" s="34" t="s">
        <v>39</v>
      </c>
    </row>
    <row r="298" spans="1:36" ht="38.450000000000003" customHeight="1" x14ac:dyDescent="0.25">
      <c r="A298" s="25">
        <v>2021</v>
      </c>
      <c r="B298" s="26">
        <v>20521</v>
      </c>
      <c r="C298" s="27" t="s">
        <v>382</v>
      </c>
      <c r="D298" s="27" t="s">
        <v>58</v>
      </c>
      <c r="E298" s="27" t="s">
        <v>52</v>
      </c>
      <c r="F298" s="28">
        <v>178</v>
      </c>
      <c r="G298" s="28">
        <v>0</v>
      </c>
      <c r="H298" s="28">
        <v>0</v>
      </c>
      <c r="I298" s="28">
        <v>0</v>
      </c>
      <c r="J298" s="28">
        <v>178</v>
      </c>
      <c r="K298" s="29">
        <v>4</v>
      </c>
      <c r="L298" s="29">
        <v>0</v>
      </c>
      <c r="M298" s="29">
        <v>0</v>
      </c>
      <c r="N298" s="29">
        <v>0</v>
      </c>
      <c r="O298" s="29">
        <v>4</v>
      </c>
      <c r="P298" s="30">
        <v>0.2</v>
      </c>
      <c r="Q298" s="30">
        <v>0</v>
      </c>
      <c r="R298" s="30">
        <v>0</v>
      </c>
      <c r="S298" s="30">
        <v>0</v>
      </c>
      <c r="T298" s="30">
        <v>0.2</v>
      </c>
      <c r="U298" s="31">
        <v>0.2</v>
      </c>
      <c r="V298" s="31">
        <v>0</v>
      </c>
      <c r="W298" s="31">
        <v>0</v>
      </c>
      <c r="X298" s="31">
        <v>0</v>
      </c>
      <c r="Y298" s="31">
        <v>0.2</v>
      </c>
      <c r="Z298" s="32">
        <v>8</v>
      </c>
      <c r="AA298" s="32">
        <v>0</v>
      </c>
      <c r="AB298" s="32">
        <v>0</v>
      </c>
      <c r="AC298" s="32">
        <v>0</v>
      </c>
      <c r="AD298" s="32">
        <v>8</v>
      </c>
      <c r="AE298" s="33">
        <v>20</v>
      </c>
      <c r="AF298" s="33">
        <v>0</v>
      </c>
      <c r="AG298" s="33">
        <v>0</v>
      </c>
      <c r="AH298" s="33">
        <v>0</v>
      </c>
      <c r="AI298" s="33">
        <v>20</v>
      </c>
      <c r="AJ298" s="34" t="s">
        <v>39</v>
      </c>
    </row>
    <row r="299" spans="1:36" ht="38.450000000000003" customHeight="1" x14ac:dyDescent="0.25">
      <c r="A299" s="25">
        <v>2021</v>
      </c>
      <c r="B299" s="26">
        <v>20603</v>
      </c>
      <c r="C299" s="27" t="s">
        <v>383</v>
      </c>
      <c r="D299" s="27" t="s">
        <v>179</v>
      </c>
      <c r="E299" s="27" t="s">
        <v>52</v>
      </c>
      <c r="F299" s="28">
        <v>1002</v>
      </c>
      <c r="G299" s="28">
        <v>0</v>
      </c>
      <c r="H299" s="28">
        <v>0</v>
      </c>
      <c r="I299" s="28">
        <v>0</v>
      </c>
      <c r="J299" s="28">
        <v>1002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30">
        <v>1.5029999999999999</v>
      </c>
      <c r="Q299" s="30">
        <v>0</v>
      </c>
      <c r="R299" s="30">
        <v>0</v>
      </c>
      <c r="S299" s="30">
        <v>0</v>
      </c>
      <c r="T299" s="30">
        <v>1.5029999999999999</v>
      </c>
      <c r="U299" s="31">
        <v>1.18</v>
      </c>
      <c r="V299" s="31">
        <v>0</v>
      </c>
      <c r="W299" s="31">
        <v>0</v>
      </c>
      <c r="X299" s="31" t="s">
        <v>39</v>
      </c>
      <c r="Y299" s="31">
        <v>1.18</v>
      </c>
      <c r="Z299" s="32">
        <v>75.561999999999998</v>
      </c>
      <c r="AA299" s="32">
        <v>0</v>
      </c>
      <c r="AB299" s="32">
        <v>0</v>
      </c>
      <c r="AC299" s="32">
        <v>0</v>
      </c>
      <c r="AD299" s="32">
        <v>75.561999999999998</v>
      </c>
      <c r="AE299" s="33">
        <v>68.168000000000006</v>
      </c>
      <c r="AF299" s="33">
        <v>0</v>
      </c>
      <c r="AG299" s="33">
        <v>0</v>
      </c>
      <c r="AH299" s="33">
        <v>0</v>
      </c>
      <c r="AI299" s="33">
        <v>68.168000000000006</v>
      </c>
      <c r="AJ299" s="34">
        <v>0</v>
      </c>
    </row>
    <row r="300" spans="1:36" ht="38.450000000000003" customHeight="1" x14ac:dyDescent="0.25">
      <c r="A300" s="25">
        <v>2021</v>
      </c>
      <c r="B300" s="26">
        <v>20639</v>
      </c>
      <c r="C300" s="27" t="s">
        <v>384</v>
      </c>
      <c r="D300" s="27" t="s">
        <v>48</v>
      </c>
      <c r="E300" s="27" t="s">
        <v>49</v>
      </c>
      <c r="F300" s="28">
        <v>4787</v>
      </c>
      <c r="G300" s="28">
        <v>38</v>
      </c>
      <c r="H300" s="28">
        <v>1</v>
      </c>
      <c r="I300" s="28" t="s">
        <v>39</v>
      </c>
      <c r="J300" s="28">
        <v>4826</v>
      </c>
      <c r="K300" s="29">
        <v>2961.0189999999998</v>
      </c>
      <c r="L300" s="29">
        <v>238.46199999999999</v>
      </c>
      <c r="M300" s="29">
        <v>63.103000000000002</v>
      </c>
      <c r="N300" s="29" t="s">
        <v>39</v>
      </c>
      <c r="O300" s="29">
        <v>3262.5839999999998</v>
      </c>
      <c r="P300" s="30">
        <v>109.867</v>
      </c>
      <c r="Q300" s="30">
        <v>8.8480000000000008</v>
      </c>
      <c r="R300" s="30">
        <v>2.3359999999999999</v>
      </c>
      <c r="S300" s="30" t="s">
        <v>39</v>
      </c>
      <c r="T300" s="30">
        <v>121.051</v>
      </c>
      <c r="U300" s="31">
        <v>23.166</v>
      </c>
      <c r="V300" s="31">
        <v>1.8660000000000001</v>
      </c>
      <c r="W300" s="31">
        <v>0.49199999999999999</v>
      </c>
      <c r="X300" s="31" t="s">
        <v>39</v>
      </c>
      <c r="Y300" s="31">
        <v>25.524000000000001</v>
      </c>
      <c r="Z300" s="32">
        <v>3350.7809999999999</v>
      </c>
      <c r="AA300" s="32">
        <v>302.387</v>
      </c>
      <c r="AB300" s="32">
        <v>149.87100000000001</v>
      </c>
      <c r="AC300" s="32" t="s">
        <v>39</v>
      </c>
      <c r="AD300" s="32">
        <v>3803.0390000000002</v>
      </c>
      <c r="AE300" s="33">
        <v>280.34500000000003</v>
      </c>
      <c r="AF300" s="33">
        <v>31.498999999999999</v>
      </c>
      <c r="AG300" s="33">
        <v>3.15</v>
      </c>
      <c r="AH300" s="33" t="s">
        <v>39</v>
      </c>
      <c r="AI300" s="33">
        <v>314.99400000000003</v>
      </c>
      <c r="AJ300" s="34" t="s">
        <v>39</v>
      </c>
    </row>
    <row r="301" spans="1:36" ht="38.450000000000003" customHeight="1" x14ac:dyDescent="0.25">
      <c r="A301" s="25">
        <v>2021</v>
      </c>
      <c r="B301" s="26">
        <v>20737</v>
      </c>
      <c r="C301" s="27" t="s">
        <v>385</v>
      </c>
      <c r="D301" s="27" t="s">
        <v>48</v>
      </c>
      <c r="E301" s="27" t="s">
        <v>49</v>
      </c>
      <c r="F301" s="28">
        <v>2043</v>
      </c>
      <c r="G301" s="28">
        <v>294</v>
      </c>
      <c r="H301" s="28" t="s">
        <v>39</v>
      </c>
      <c r="I301" s="28" t="s">
        <v>39</v>
      </c>
      <c r="J301" s="28">
        <v>2337</v>
      </c>
      <c r="K301" s="29">
        <v>2.8</v>
      </c>
      <c r="L301" s="29">
        <v>0.4</v>
      </c>
      <c r="M301" s="29" t="s">
        <v>39</v>
      </c>
      <c r="N301" s="29" t="s">
        <v>39</v>
      </c>
      <c r="O301" s="29">
        <v>3.2</v>
      </c>
      <c r="P301" s="30">
        <v>3.1</v>
      </c>
      <c r="Q301" s="30">
        <v>0.42</v>
      </c>
      <c r="R301" s="30" t="s">
        <v>39</v>
      </c>
      <c r="S301" s="30" t="s">
        <v>39</v>
      </c>
      <c r="T301" s="30">
        <v>3.52</v>
      </c>
      <c r="U301" s="31">
        <v>2.8</v>
      </c>
      <c r="V301" s="31">
        <v>0.4</v>
      </c>
      <c r="W301" s="31" t="s">
        <v>39</v>
      </c>
      <c r="X301" s="31" t="s">
        <v>39</v>
      </c>
      <c r="Y301" s="31">
        <v>3.2</v>
      </c>
      <c r="Z301" s="32">
        <v>5.52</v>
      </c>
      <c r="AA301" s="32">
        <v>0</v>
      </c>
      <c r="AB301" s="32" t="s">
        <v>39</v>
      </c>
      <c r="AC301" s="32" t="s">
        <v>39</v>
      </c>
      <c r="AD301" s="32">
        <v>5.52</v>
      </c>
      <c r="AE301" s="33">
        <v>21.45</v>
      </c>
      <c r="AF301" s="33">
        <v>52.518000000000001</v>
      </c>
      <c r="AG301" s="33" t="s">
        <v>39</v>
      </c>
      <c r="AH301" s="33" t="s">
        <v>39</v>
      </c>
      <c r="AI301" s="33">
        <v>73.968000000000004</v>
      </c>
      <c r="AJ301" s="34" t="s">
        <v>39</v>
      </c>
    </row>
    <row r="302" spans="1:36" ht="38.450000000000003" customHeight="1" x14ac:dyDescent="0.25">
      <c r="A302" s="25">
        <v>2021</v>
      </c>
      <c r="B302" s="26">
        <v>20841</v>
      </c>
      <c r="C302" s="27" t="s">
        <v>386</v>
      </c>
      <c r="D302" s="27" t="s">
        <v>37</v>
      </c>
      <c r="E302" s="27" t="s">
        <v>38</v>
      </c>
      <c r="F302" s="28">
        <v>3957</v>
      </c>
      <c r="G302" s="28" t="s">
        <v>39</v>
      </c>
      <c r="H302" s="28" t="s">
        <v>39</v>
      </c>
      <c r="I302" s="28" t="s">
        <v>39</v>
      </c>
      <c r="J302" s="28">
        <v>3957</v>
      </c>
      <c r="K302" s="29" t="s">
        <v>39</v>
      </c>
      <c r="L302" s="29" t="s">
        <v>39</v>
      </c>
      <c r="M302" s="29" t="s">
        <v>39</v>
      </c>
      <c r="N302" s="29" t="s">
        <v>39</v>
      </c>
      <c r="O302" s="29" t="s">
        <v>39</v>
      </c>
      <c r="P302" s="30">
        <v>4.7930000000000001</v>
      </c>
      <c r="Q302" s="30" t="s">
        <v>39</v>
      </c>
      <c r="R302" s="30" t="s">
        <v>39</v>
      </c>
      <c r="S302" s="30" t="s">
        <v>39</v>
      </c>
      <c r="T302" s="30">
        <v>4.7930000000000001</v>
      </c>
      <c r="U302" s="31">
        <v>4.7930000000000001</v>
      </c>
      <c r="V302" s="31" t="s">
        <v>39</v>
      </c>
      <c r="W302" s="31" t="s">
        <v>39</v>
      </c>
      <c r="X302" s="31" t="s">
        <v>39</v>
      </c>
      <c r="Y302" s="31">
        <v>4.7930000000000001</v>
      </c>
      <c r="Z302" s="32" t="s">
        <v>39</v>
      </c>
      <c r="AA302" s="32" t="s">
        <v>39</v>
      </c>
      <c r="AB302" s="32" t="s">
        <v>39</v>
      </c>
      <c r="AC302" s="32" t="s">
        <v>39</v>
      </c>
      <c r="AD302" s="32" t="s">
        <v>39</v>
      </c>
      <c r="AE302" s="33">
        <v>100.366</v>
      </c>
      <c r="AF302" s="33" t="s">
        <v>39</v>
      </c>
      <c r="AG302" s="33" t="s">
        <v>39</v>
      </c>
      <c r="AH302" s="33" t="s">
        <v>39</v>
      </c>
      <c r="AI302" s="33">
        <v>100.366</v>
      </c>
      <c r="AJ302" s="34" t="s">
        <v>39</v>
      </c>
    </row>
    <row r="303" spans="1:36" ht="51" customHeight="1" x14ac:dyDescent="0.25">
      <c r="A303" s="25">
        <v>2021</v>
      </c>
      <c r="B303" s="26">
        <v>20847</v>
      </c>
      <c r="C303" s="27" t="s">
        <v>387</v>
      </c>
      <c r="D303" s="27" t="s">
        <v>72</v>
      </c>
      <c r="E303" s="27" t="s">
        <v>49</v>
      </c>
      <c r="F303" s="28" t="s">
        <v>39</v>
      </c>
      <c r="G303" s="28">
        <v>29</v>
      </c>
      <c r="H303" s="28">
        <v>53</v>
      </c>
      <c r="I303" s="28" t="s">
        <v>39</v>
      </c>
      <c r="J303" s="28">
        <v>82</v>
      </c>
      <c r="K303" s="29" t="s">
        <v>39</v>
      </c>
      <c r="L303" s="29" t="s">
        <v>39</v>
      </c>
      <c r="M303" s="29" t="s">
        <v>39</v>
      </c>
      <c r="N303" s="29" t="s">
        <v>39</v>
      </c>
      <c r="O303" s="29" t="s">
        <v>39</v>
      </c>
      <c r="P303" s="30" t="s">
        <v>39</v>
      </c>
      <c r="Q303" s="30">
        <v>8.4</v>
      </c>
      <c r="R303" s="30">
        <v>116.2</v>
      </c>
      <c r="S303" s="30" t="s">
        <v>39</v>
      </c>
      <c r="T303" s="30">
        <v>124.6</v>
      </c>
      <c r="U303" s="31" t="s">
        <v>39</v>
      </c>
      <c r="V303" s="31" t="s">
        <v>39</v>
      </c>
      <c r="W303" s="31" t="s">
        <v>39</v>
      </c>
      <c r="X303" s="31" t="s">
        <v>39</v>
      </c>
      <c r="Y303" s="31" t="s">
        <v>39</v>
      </c>
      <c r="Z303" s="32" t="s">
        <v>39</v>
      </c>
      <c r="AA303" s="32" t="s">
        <v>39</v>
      </c>
      <c r="AB303" s="32" t="s">
        <v>39</v>
      </c>
      <c r="AC303" s="32" t="s">
        <v>39</v>
      </c>
      <c r="AD303" s="32" t="s">
        <v>39</v>
      </c>
      <c r="AE303" s="33" t="s">
        <v>39</v>
      </c>
      <c r="AF303" s="33" t="s">
        <v>39</v>
      </c>
      <c r="AG303" s="33" t="s">
        <v>39</v>
      </c>
      <c r="AH303" s="33" t="s">
        <v>39</v>
      </c>
      <c r="AI303" s="33" t="s">
        <v>39</v>
      </c>
      <c r="AJ303" s="34" t="s">
        <v>39</v>
      </c>
    </row>
    <row r="304" spans="1:36" ht="51" customHeight="1" x14ac:dyDescent="0.25">
      <c r="A304" s="25">
        <v>2021</v>
      </c>
      <c r="B304" s="26">
        <v>20856</v>
      </c>
      <c r="C304" s="27" t="s">
        <v>388</v>
      </c>
      <c r="D304" s="27" t="s">
        <v>72</v>
      </c>
      <c r="E304" s="27" t="s">
        <v>49</v>
      </c>
      <c r="F304" s="28" t="s">
        <v>39</v>
      </c>
      <c r="G304" s="28" t="s">
        <v>39</v>
      </c>
      <c r="H304" s="28">
        <v>128</v>
      </c>
      <c r="I304" s="28" t="s">
        <v>39</v>
      </c>
      <c r="J304" s="28">
        <v>128</v>
      </c>
      <c r="K304" s="29" t="s">
        <v>39</v>
      </c>
      <c r="L304" s="29" t="s">
        <v>39</v>
      </c>
      <c r="M304" s="29">
        <v>585</v>
      </c>
      <c r="N304" s="29" t="s">
        <v>39</v>
      </c>
      <c r="O304" s="29">
        <v>585</v>
      </c>
      <c r="P304" s="30" t="s">
        <v>39</v>
      </c>
      <c r="Q304" s="30" t="s">
        <v>39</v>
      </c>
      <c r="R304" s="30">
        <v>136.27000000000001</v>
      </c>
      <c r="S304" s="30" t="s">
        <v>39</v>
      </c>
      <c r="T304" s="30">
        <v>136.27000000000001</v>
      </c>
      <c r="U304" s="31" t="s">
        <v>39</v>
      </c>
      <c r="V304" s="31" t="s">
        <v>39</v>
      </c>
      <c r="W304" s="31" t="s">
        <v>39</v>
      </c>
      <c r="X304" s="31" t="s">
        <v>39</v>
      </c>
      <c r="Y304" s="31" t="s">
        <v>39</v>
      </c>
      <c r="Z304" s="32" t="s">
        <v>39</v>
      </c>
      <c r="AA304" s="32" t="s">
        <v>39</v>
      </c>
      <c r="AB304" s="32">
        <v>9456.5650000000005</v>
      </c>
      <c r="AC304" s="32" t="s">
        <v>39</v>
      </c>
      <c r="AD304" s="32">
        <v>9456.5650000000005</v>
      </c>
      <c r="AE304" s="33" t="s">
        <v>39</v>
      </c>
      <c r="AF304" s="33" t="s">
        <v>39</v>
      </c>
      <c r="AG304" s="33" t="s">
        <v>39</v>
      </c>
      <c r="AH304" s="33" t="s">
        <v>39</v>
      </c>
      <c r="AI304" s="33" t="s">
        <v>39</v>
      </c>
      <c r="AJ304" s="34" t="s">
        <v>39</v>
      </c>
    </row>
    <row r="305" spans="1:36" ht="51" customHeight="1" x14ac:dyDescent="0.25">
      <c r="A305" s="25">
        <v>2021</v>
      </c>
      <c r="B305" s="26">
        <v>20963</v>
      </c>
      <c r="C305" s="27" t="s">
        <v>389</v>
      </c>
      <c r="D305" s="27" t="s">
        <v>63</v>
      </c>
      <c r="E305" s="27" t="s">
        <v>49</v>
      </c>
      <c r="F305" s="28" t="s">
        <v>39</v>
      </c>
      <c r="G305" s="28" t="s">
        <v>39</v>
      </c>
      <c r="H305" s="28">
        <v>3200</v>
      </c>
      <c r="I305" s="28" t="s">
        <v>39</v>
      </c>
      <c r="J305" s="28">
        <v>3200</v>
      </c>
      <c r="K305" s="29" t="s">
        <v>39</v>
      </c>
      <c r="L305" s="29" t="s">
        <v>39</v>
      </c>
      <c r="M305" s="29">
        <v>4000</v>
      </c>
      <c r="N305" s="29" t="s">
        <v>39</v>
      </c>
      <c r="O305" s="29">
        <v>4000</v>
      </c>
      <c r="P305" s="30" t="s">
        <v>39</v>
      </c>
      <c r="Q305" s="30" t="s">
        <v>39</v>
      </c>
      <c r="R305" s="30">
        <v>70</v>
      </c>
      <c r="S305" s="30" t="s">
        <v>39</v>
      </c>
      <c r="T305" s="30">
        <v>70</v>
      </c>
      <c r="U305" s="31" t="s">
        <v>39</v>
      </c>
      <c r="V305" s="31" t="s">
        <v>39</v>
      </c>
      <c r="W305" s="31">
        <v>68.5</v>
      </c>
      <c r="X305" s="31" t="s">
        <v>39</v>
      </c>
      <c r="Y305" s="31">
        <v>68.5</v>
      </c>
      <c r="Z305" s="32" t="s">
        <v>39</v>
      </c>
      <c r="AA305" s="32" t="s">
        <v>39</v>
      </c>
      <c r="AB305" s="32">
        <v>4000</v>
      </c>
      <c r="AC305" s="32" t="s">
        <v>39</v>
      </c>
      <c r="AD305" s="32">
        <v>4000</v>
      </c>
      <c r="AE305" s="33" t="s">
        <v>39</v>
      </c>
      <c r="AF305" s="33" t="s">
        <v>39</v>
      </c>
      <c r="AG305" s="33">
        <v>50</v>
      </c>
      <c r="AH305" s="33" t="s">
        <v>39</v>
      </c>
      <c r="AI305" s="33">
        <v>50</v>
      </c>
      <c r="AJ305" s="34" t="s">
        <v>39</v>
      </c>
    </row>
    <row r="306" spans="1:36" ht="38.450000000000003" customHeight="1" x14ac:dyDescent="0.25">
      <c r="A306" s="25">
        <v>2021</v>
      </c>
      <c r="B306" s="26">
        <v>21002</v>
      </c>
      <c r="C306" s="27" t="s">
        <v>390</v>
      </c>
      <c r="D306" s="27" t="s">
        <v>35</v>
      </c>
      <c r="E306" s="27" t="s">
        <v>80</v>
      </c>
      <c r="F306" s="28">
        <v>5947</v>
      </c>
      <c r="G306" s="28" t="s">
        <v>39</v>
      </c>
      <c r="H306" s="28" t="s">
        <v>39</v>
      </c>
      <c r="I306" s="28" t="s">
        <v>39</v>
      </c>
      <c r="J306" s="28">
        <v>5947</v>
      </c>
      <c r="K306" s="29" t="s">
        <v>39</v>
      </c>
      <c r="L306" s="29" t="s">
        <v>39</v>
      </c>
      <c r="M306" s="29" t="s">
        <v>39</v>
      </c>
      <c r="N306" s="29" t="s">
        <v>39</v>
      </c>
      <c r="O306" s="29" t="s">
        <v>39</v>
      </c>
      <c r="P306" s="30">
        <v>25</v>
      </c>
      <c r="Q306" s="30" t="s">
        <v>39</v>
      </c>
      <c r="R306" s="30" t="s">
        <v>39</v>
      </c>
      <c r="S306" s="30" t="s">
        <v>39</v>
      </c>
      <c r="T306" s="30">
        <v>25</v>
      </c>
      <c r="U306" s="31">
        <v>6.2</v>
      </c>
      <c r="V306" s="31" t="s">
        <v>39</v>
      </c>
      <c r="W306" s="31" t="s">
        <v>39</v>
      </c>
      <c r="X306" s="31" t="s">
        <v>39</v>
      </c>
      <c r="Y306" s="31">
        <v>6.2</v>
      </c>
      <c r="Z306" s="32">
        <v>155</v>
      </c>
      <c r="AA306" s="32" t="s">
        <v>39</v>
      </c>
      <c r="AB306" s="32" t="s">
        <v>39</v>
      </c>
      <c r="AC306" s="32" t="s">
        <v>39</v>
      </c>
      <c r="AD306" s="32">
        <v>155</v>
      </c>
      <c r="AE306" s="33">
        <v>1615</v>
      </c>
      <c r="AF306" s="33" t="s">
        <v>39</v>
      </c>
      <c r="AG306" s="33" t="s">
        <v>39</v>
      </c>
      <c r="AH306" s="33" t="s">
        <v>39</v>
      </c>
      <c r="AI306" s="33">
        <v>1615</v>
      </c>
      <c r="AJ306" s="34" t="s">
        <v>39</v>
      </c>
    </row>
    <row r="307" spans="1:36" ht="38.450000000000003" customHeight="1" x14ac:dyDescent="0.25">
      <c r="A307" s="25">
        <v>2021</v>
      </c>
      <c r="B307" s="26">
        <v>21013</v>
      </c>
      <c r="C307" s="27" t="s">
        <v>391</v>
      </c>
      <c r="D307" s="27" t="s">
        <v>48</v>
      </c>
      <c r="E307" s="27" t="s">
        <v>49</v>
      </c>
      <c r="F307" s="28">
        <v>2347</v>
      </c>
      <c r="G307" s="28" t="s">
        <v>39</v>
      </c>
      <c r="H307" s="28" t="s">
        <v>39</v>
      </c>
      <c r="I307" s="28" t="s">
        <v>39</v>
      </c>
      <c r="J307" s="28">
        <v>2347</v>
      </c>
      <c r="K307" s="29" t="s">
        <v>39</v>
      </c>
      <c r="L307" s="29" t="s">
        <v>39</v>
      </c>
      <c r="M307" s="29" t="s">
        <v>39</v>
      </c>
      <c r="N307" s="29" t="s">
        <v>39</v>
      </c>
      <c r="O307" s="29" t="s">
        <v>39</v>
      </c>
      <c r="P307" s="30">
        <v>7.0410000000000004</v>
      </c>
      <c r="Q307" s="30" t="s">
        <v>39</v>
      </c>
      <c r="R307" s="30" t="s">
        <v>39</v>
      </c>
      <c r="S307" s="30" t="s">
        <v>39</v>
      </c>
      <c r="T307" s="30">
        <v>7.0410000000000004</v>
      </c>
      <c r="U307" s="31">
        <v>2.347</v>
      </c>
      <c r="V307" s="31" t="s">
        <v>39</v>
      </c>
      <c r="W307" s="31" t="s">
        <v>39</v>
      </c>
      <c r="X307" s="31" t="s">
        <v>39</v>
      </c>
      <c r="Y307" s="31">
        <v>2.347</v>
      </c>
      <c r="Z307" s="32">
        <v>0</v>
      </c>
      <c r="AA307" s="32" t="s">
        <v>39</v>
      </c>
      <c r="AB307" s="32" t="s">
        <v>39</v>
      </c>
      <c r="AC307" s="32" t="s">
        <v>39</v>
      </c>
      <c r="AD307" s="32">
        <v>0</v>
      </c>
      <c r="AE307" s="33">
        <v>0</v>
      </c>
      <c r="AF307" s="33" t="s">
        <v>39</v>
      </c>
      <c r="AG307" s="33" t="s">
        <v>39</v>
      </c>
      <c r="AH307" s="33" t="s">
        <v>39</v>
      </c>
      <c r="AI307" s="33">
        <v>0</v>
      </c>
      <c r="AJ307" s="34" t="s">
        <v>39</v>
      </c>
    </row>
    <row r="308" spans="1:36" ht="51" customHeight="1" x14ac:dyDescent="0.25">
      <c r="A308" s="25">
        <v>2021</v>
      </c>
      <c r="B308" s="26">
        <v>21111</v>
      </c>
      <c r="C308" s="27" t="s">
        <v>392</v>
      </c>
      <c r="D308" s="27" t="s">
        <v>89</v>
      </c>
      <c r="E308" s="27" t="s">
        <v>77</v>
      </c>
      <c r="F308" s="28">
        <v>217</v>
      </c>
      <c r="G308" s="28">
        <v>813</v>
      </c>
      <c r="H308" s="28">
        <v>8</v>
      </c>
      <c r="I308" s="28" t="s">
        <v>39</v>
      </c>
      <c r="J308" s="28">
        <v>1038</v>
      </c>
      <c r="K308" s="29">
        <v>168.881</v>
      </c>
      <c r="L308" s="29">
        <v>69.347999999999999</v>
      </c>
      <c r="M308" s="29">
        <v>64.867000000000004</v>
      </c>
      <c r="N308" s="29" t="s">
        <v>39</v>
      </c>
      <c r="O308" s="29">
        <v>303.096</v>
      </c>
      <c r="P308" s="30">
        <v>4.2999999999999997E-2</v>
      </c>
      <c r="Q308" s="30">
        <v>5.3999999999999999E-2</v>
      </c>
      <c r="R308" s="30">
        <v>0</v>
      </c>
      <c r="S308" s="30" t="s">
        <v>39</v>
      </c>
      <c r="T308" s="30">
        <v>9.7000000000000003E-2</v>
      </c>
      <c r="U308" s="31" t="s">
        <v>39</v>
      </c>
      <c r="V308" s="31" t="s">
        <v>39</v>
      </c>
      <c r="W308" s="31" t="s">
        <v>39</v>
      </c>
      <c r="X308" s="31" t="s">
        <v>39</v>
      </c>
      <c r="Y308" s="31" t="s">
        <v>39</v>
      </c>
      <c r="Z308" s="32">
        <v>42.152999999999999</v>
      </c>
      <c r="AA308" s="32">
        <v>16.456</v>
      </c>
      <c r="AB308" s="32">
        <v>4.9400000000000004</v>
      </c>
      <c r="AC308" s="32" t="s">
        <v>39</v>
      </c>
      <c r="AD308" s="32">
        <v>63.548999999999999</v>
      </c>
      <c r="AE308" s="33" t="s">
        <v>39</v>
      </c>
      <c r="AF308" s="33" t="s">
        <v>39</v>
      </c>
      <c r="AG308" s="33" t="s">
        <v>39</v>
      </c>
      <c r="AH308" s="33" t="s">
        <v>39</v>
      </c>
      <c r="AI308" s="33" t="s">
        <v>39</v>
      </c>
      <c r="AJ308" s="34">
        <v>0</v>
      </c>
    </row>
    <row r="309" spans="1:36" ht="38.450000000000003" customHeight="1" x14ac:dyDescent="0.25">
      <c r="A309" s="25">
        <v>2021</v>
      </c>
      <c r="B309" s="26">
        <v>21244</v>
      </c>
      <c r="C309" s="27" t="s">
        <v>393</v>
      </c>
      <c r="D309" s="27" t="s">
        <v>57</v>
      </c>
      <c r="E309" s="27" t="s">
        <v>52</v>
      </c>
      <c r="F309" s="28">
        <v>1267</v>
      </c>
      <c r="G309" s="28" t="s">
        <v>39</v>
      </c>
      <c r="H309" s="28" t="s">
        <v>39</v>
      </c>
      <c r="I309" s="28" t="s">
        <v>39</v>
      </c>
      <c r="J309" s="28">
        <v>1267</v>
      </c>
      <c r="K309" s="29">
        <v>1.419</v>
      </c>
      <c r="L309" s="29" t="s">
        <v>39</v>
      </c>
      <c r="M309" s="29" t="s">
        <v>39</v>
      </c>
      <c r="N309" s="29" t="s">
        <v>39</v>
      </c>
      <c r="O309" s="29">
        <v>1.419</v>
      </c>
      <c r="P309" s="30">
        <v>5</v>
      </c>
      <c r="Q309" s="30" t="s">
        <v>39</v>
      </c>
      <c r="R309" s="30" t="s">
        <v>39</v>
      </c>
      <c r="S309" s="30" t="s">
        <v>39</v>
      </c>
      <c r="T309" s="30">
        <v>5</v>
      </c>
      <c r="U309" s="31">
        <v>1.419</v>
      </c>
      <c r="V309" s="31" t="s">
        <v>39</v>
      </c>
      <c r="W309" s="31" t="s">
        <v>39</v>
      </c>
      <c r="X309" s="31" t="s">
        <v>39</v>
      </c>
      <c r="Y309" s="31">
        <v>1.419</v>
      </c>
      <c r="Z309" s="32">
        <v>0</v>
      </c>
      <c r="AA309" s="32" t="s">
        <v>39</v>
      </c>
      <c r="AB309" s="32" t="s">
        <v>39</v>
      </c>
      <c r="AC309" s="32" t="s">
        <v>39</v>
      </c>
      <c r="AD309" s="32">
        <v>0</v>
      </c>
      <c r="AE309" s="33">
        <v>0</v>
      </c>
      <c r="AF309" s="33" t="s">
        <v>39</v>
      </c>
      <c r="AG309" s="33" t="s">
        <v>39</v>
      </c>
      <c r="AH309" s="33" t="s">
        <v>39</v>
      </c>
      <c r="AI309" s="33">
        <v>0</v>
      </c>
      <c r="AJ309" s="34" t="s">
        <v>39</v>
      </c>
    </row>
    <row r="310" spans="1:36" ht="51" customHeight="1" x14ac:dyDescent="0.25">
      <c r="A310" s="25">
        <v>2021</v>
      </c>
      <c r="B310" s="26">
        <v>21554</v>
      </c>
      <c r="C310" s="27" t="s">
        <v>394</v>
      </c>
      <c r="D310" s="27" t="s">
        <v>98</v>
      </c>
      <c r="E310" s="27" t="s">
        <v>103</v>
      </c>
      <c r="F310" s="28">
        <v>2750</v>
      </c>
      <c r="G310" s="28" t="s">
        <v>39</v>
      </c>
      <c r="H310" s="28" t="s">
        <v>39</v>
      </c>
      <c r="I310" s="28" t="s">
        <v>39</v>
      </c>
      <c r="J310" s="28">
        <v>2750</v>
      </c>
      <c r="K310" s="29">
        <v>59.8</v>
      </c>
      <c r="L310" s="29" t="s">
        <v>39</v>
      </c>
      <c r="M310" s="29" t="s">
        <v>39</v>
      </c>
      <c r="N310" s="29" t="s">
        <v>39</v>
      </c>
      <c r="O310" s="29">
        <v>59.8</v>
      </c>
      <c r="P310" s="30">
        <v>4.125</v>
      </c>
      <c r="Q310" s="30" t="s">
        <v>39</v>
      </c>
      <c r="R310" s="30" t="s">
        <v>39</v>
      </c>
      <c r="S310" s="30" t="s">
        <v>39</v>
      </c>
      <c r="T310" s="30">
        <v>4.125</v>
      </c>
      <c r="U310" s="31">
        <v>3.1139999999999999</v>
      </c>
      <c r="V310" s="31" t="s">
        <v>39</v>
      </c>
      <c r="W310" s="31" t="s">
        <v>39</v>
      </c>
      <c r="X310" s="31" t="s">
        <v>39</v>
      </c>
      <c r="Y310" s="31">
        <v>3.1139999999999999</v>
      </c>
      <c r="Z310" s="32">
        <v>57.9</v>
      </c>
      <c r="AA310" s="32" t="s">
        <v>39</v>
      </c>
      <c r="AB310" s="32" t="s">
        <v>39</v>
      </c>
      <c r="AC310" s="32" t="s">
        <v>39</v>
      </c>
      <c r="AD310" s="32">
        <v>57.9</v>
      </c>
      <c r="AE310" s="33">
        <v>41.667000000000002</v>
      </c>
      <c r="AF310" s="33" t="s">
        <v>39</v>
      </c>
      <c r="AG310" s="33" t="s">
        <v>39</v>
      </c>
      <c r="AH310" s="33" t="s">
        <v>39</v>
      </c>
      <c r="AI310" s="33">
        <v>41.667000000000002</v>
      </c>
      <c r="AJ310" s="34" t="s">
        <v>39</v>
      </c>
    </row>
    <row r="311" spans="1:36" ht="51" customHeight="1" x14ac:dyDescent="0.25">
      <c r="A311" s="25">
        <v>2021</v>
      </c>
      <c r="B311" s="26">
        <v>21632</v>
      </c>
      <c r="C311" s="27" t="s">
        <v>395</v>
      </c>
      <c r="D311" s="27" t="s">
        <v>79</v>
      </c>
      <c r="E311" s="27" t="s">
        <v>80</v>
      </c>
      <c r="F311" s="28">
        <v>11175</v>
      </c>
      <c r="G311" s="28">
        <v>154</v>
      </c>
      <c r="H311" s="28">
        <v>5</v>
      </c>
      <c r="I311" s="28" t="s">
        <v>39</v>
      </c>
      <c r="J311" s="28">
        <v>11334</v>
      </c>
      <c r="K311" s="29">
        <v>340</v>
      </c>
      <c r="L311" s="29">
        <v>273</v>
      </c>
      <c r="M311" s="29">
        <v>145</v>
      </c>
      <c r="N311" s="29" t="s">
        <v>39</v>
      </c>
      <c r="O311" s="29">
        <v>758</v>
      </c>
      <c r="P311" s="30">
        <v>10</v>
      </c>
      <c r="Q311" s="30">
        <v>8</v>
      </c>
      <c r="R311" s="30">
        <v>4</v>
      </c>
      <c r="S311" s="30" t="s">
        <v>39</v>
      </c>
      <c r="T311" s="30">
        <v>22</v>
      </c>
      <c r="U311" s="31">
        <v>10</v>
      </c>
      <c r="V311" s="31">
        <v>7</v>
      </c>
      <c r="W311" s="31">
        <v>3</v>
      </c>
      <c r="X311" s="31" t="s">
        <v>39</v>
      </c>
      <c r="Y311" s="31">
        <v>20</v>
      </c>
      <c r="Z311" s="32" t="s">
        <v>39</v>
      </c>
      <c r="AA311" s="32" t="s">
        <v>39</v>
      </c>
      <c r="AB311" s="32" t="s">
        <v>39</v>
      </c>
      <c r="AC311" s="32" t="s">
        <v>39</v>
      </c>
      <c r="AD311" s="32" t="s">
        <v>39</v>
      </c>
      <c r="AE311" s="33" t="s">
        <v>39</v>
      </c>
      <c r="AF311" s="33" t="s">
        <v>39</v>
      </c>
      <c r="AG311" s="33" t="s">
        <v>39</v>
      </c>
      <c r="AH311" s="33" t="s">
        <v>39</v>
      </c>
      <c r="AI311" s="33" t="s">
        <v>39</v>
      </c>
      <c r="AJ311" s="34" t="s">
        <v>39</v>
      </c>
    </row>
    <row r="312" spans="1:36" ht="38.450000000000003" customHeight="1" x14ac:dyDescent="0.25">
      <c r="A312" s="25">
        <v>2021</v>
      </c>
      <c r="B312" s="26">
        <v>22053</v>
      </c>
      <c r="C312" s="27" t="s">
        <v>396</v>
      </c>
      <c r="D312" s="27" t="s">
        <v>142</v>
      </c>
      <c r="E312" s="27" t="s">
        <v>52</v>
      </c>
      <c r="F312" s="28">
        <v>0</v>
      </c>
      <c r="G312" s="28">
        <v>0</v>
      </c>
      <c r="H312" s="28">
        <v>7</v>
      </c>
      <c r="I312" s="28">
        <v>0</v>
      </c>
      <c r="J312" s="28">
        <v>7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30">
        <v>0</v>
      </c>
      <c r="Q312" s="30">
        <v>0</v>
      </c>
      <c r="R312" s="30">
        <v>7.6</v>
      </c>
      <c r="S312" s="30">
        <v>0</v>
      </c>
      <c r="T312" s="30">
        <v>7.6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2">
        <v>0</v>
      </c>
      <c r="AA312" s="32">
        <v>0</v>
      </c>
      <c r="AB312" s="32">
        <v>0</v>
      </c>
      <c r="AC312" s="32">
        <v>0</v>
      </c>
      <c r="AD312" s="32">
        <v>0</v>
      </c>
      <c r="AE312" s="33">
        <v>0</v>
      </c>
      <c r="AF312" s="33">
        <v>0</v>
      </c>
      <c r="AG312" s="33">
        <v>0</v>
      </c>
      <c r="AH312" s="33">
        <v>0</v>
      </c>
      <c r="AI312" s="33">
        <v>0</v>
      </c>
      <c r="AJ312" s="34" t="s">
        <v>39</v>
      </c>
    </row>
    <row r="313" spans="1:36" ht="51" customHeight="1" x14ac:dyDescent="0.25">
      <c r="A313" s="25">
        <v>2021</v>
      </c>
      <c r="B313" s="26">
        <v>22500</v>
      </c>
      <c r="C313" s="27" t="s">
        <v>397</v>
      </c>
      <c r="D313" s="27" t="s">
        <v>207</v>
      </c>
      <c r="E313" s="27" t="s">
        <v>77</v>
      </c>
      <c r="F313" s="28">
        <v>24727</v>
      </c>
      <c r="G313" s="28">
        <v>780</v>
      </c>
      <c r="H313" s="28">
        <v>1</v>
      </c>
      <c r="I313" s="28" t="s">
        <v>39</v>
      </c>
      <c r="J313" s="28">
        <v>25508</v>
      </c>
      <c r="K313" s="29" t="s">
        <v>39</v>
      </c>
      <c r="L313" s="29" t="s">
        <v>39</v>
      </c>
      <c r="M313" s="29" t="s">
        <v>39</v>
      </c>
      <c r="N313" s="29" t="s">
        <v>39</v>
      </c>
      <c r="O313" s="29" t="s">
        <v>39</v>
      </c>
      <c r="P313" s="30">
        <v>10.509</v>
      </c>
      <c r="Q313" s="30">
        <v>2.556</v>
      </c>
      <c r="R313" s="30">
        <v>15.727</v>
      </c>
      <c r="S313" s="30" t="s">
        <v>39</v>
      </c>
      <c r="T313" s="30">
        <v>28.792000000000002</v>
      </c>
      <c r="U313" s="31">
        <v>10.509</v>
      </c>
      <c r="V313" s="31">
        <v>0.32500000000000001</v>
      </c>
      <c r="W313" s="31" t="s">
        <v>39</v>
      </c>
      <c r="X313" s="31" t="s">
        <v>39</v>
      </c>
      <c r="Y313" s="31">
        <v>10.834</v>
      </c>
      <c r="Z313" s="32" t="s">
        <v>39</v>
      </c>
      <c r="AA313" s="32" t="s">
        <v>39</v>
      </c>
      <c r="AB313" s="32" t="s">
        <v>39</v>
      </c>
      <c r="AC313" s="32" t="s">
        <v>39</v>
      </c>
      <c r="AD313" s="32" t="s">
        <v>39</v>
      </c>
      <c r="AE313" s="33">
        <v>214.46</v>
      </c>
      <c r="AF313" s="33">
        <v>6.63</v>
      </c>
      <c r="AG313" s="33" t="s">
        <v>39</v>
      </c>
      <c r="AH313" s="33" t="s">
        <v>39</v>
      </c>
      <c r="AI313" s="33">
        <v>221.09</v>
      </c>
      <c r="AJ313" s="34">
        <v>0</v>
      </c>
    </row>
    <row r="314" spans="1:36" ht="51" customHeight="1" x14ac:dyDescent="0.25">
      <c r="A314" s="25">
        <v>2021</v>
      </c>
      <c r="B314" s="26">
        <v>24211</v>
      </c>
      <c r="C314" s="27" t="s">
        <v>398</v>
      </c>
      <c r="D314" s="27" t="s">
        <v>60</v>
      </c>
      <c r="E314" s="27" t="s">
        <v>371</v>
      </c>
      <c r="F314" s="28" t="s">
        <v>39</v>
      </c>
      <c r="G314" s="28">
        <v>162</v>
      </c>
      <c r="H314" s="28" t="s">
        <v>39</v>
      </c>
      <c r="I314" s="28" t="s">
        <v>39</v>
      </c>
      <c r="J314" s="28">
        <v>162</v>
      </c>
      <c r="K314" s="29" t="s">
        <v>39</v>
      </c>
      <c r="L314" s="29">
        <v>7795</v>
      </c>
      <c r="M314" s="29" t="s">
        <v>39</v>
      </c>
      <c r="N314" s="29" t="s">
        <v>39</v>
      </c>
      <c r="O314" s="29">
        <v>7795</v>
      </c>
      <c r="P314" s="30" t="s">
        <v>39</v>
      </c>
      <c r="Q314" s="30">
        <v>42.73</v>
      </c>
      <c r="R314" s="30" t="s">
        <v>39</v>
      </c>
      <c r="S314" s="30" t="s">
        <v>39</v>
      </c>
      <c r="T314" s="30">
        <v>42.73</v>
      </c>
      <c r="U314" s="31" t="s">
        <v>39</v>
      </c>
      <c r="V314" s="31">
        <v>42.73</v>
      </c>
      <c r="W314" s="31" t="s">
        <v>39</v>
      </c>
      <c r="X314" s="31" t="s">
        <v>39</v>
      </c>
      <c r="Y314" s="31">
        <v>42.73</v>
      </c>
      <c r="Z314" s="32" t="s">
        <v>39</v>
      </c>
      <c r="AA314" s="32">
        <v>192</v>
      </c>
      <c r="AB314" s="32" t="s">
        <v>39</v>
      </c>
      <c r="AC314" s="32" t="s">
        <v>39</v>
      </c>
      <c r="AD314" s="32">
        <v>192</v>
      </c>
      <c r="AE314" s="33" t="s">
        <v>39</v>
      </c>
      <c r="AF314" s="33">
        <v>24</v>
      </c>
      <c r="AG314" s="33" t="s">
        <v>39</v>
      </c>
      <c r="AH314" s="33" t="s">
        <v>39</v>
      </c>
      <c r="AI314" s="33">
        <v>24</v>
      </c>
      <c r="AJ314" s="34" t="s">
        <v>39</v>
      </c>
    </row>
    <row r="315" spans="1:36" ht="51" customHeight="1" x14ac:dyDescent="0.25">
      <c r="A315" s="25">
        <v>2021</v>
      </c>
      <c r="B315" s="26">
        <v>24949</v>
      </c>
      <c r="C315" s="27" t="s">
        <v>399</v>
      </c>
      <c r="D315" s="27" t="s">
        <v>84</v>
      </c>
      <c r="E315" s="27" t="s">
        <v>49</v>
      </c>
      <c r="F315" s="28">
        <v>8603</v>
      </c>
      <c r="G315" s="28">
        <v>416</v>
      </c>
      <c r="H315" s="28">
        <v>531</v>
      </c>
      <c r="I315" s="28" t="s">
        <v>39</v>
      </c>
      <c r="J315" s="28">
        <v>9550</v>
      </c>
      <c r="K315" s="29">
        <v>12374.7</v>
      </c>
      <c r="L315" s="29">
        <v>4165.3999999999996</v>
      </c>
      <c r="M315" s="29">
        <v>1770</v>
      </c>
      <c r="N315" s="29" t="s">
        <v>39</v>
      </c>
      <c r="O315" s="29">
        <v>18310.099999999999</v>
      </c>
      <c r="P315" s="30">
        <v>274.60000000000002</v>
      </c>
      <c r="Q315" s="30">
        <v>130.6</v>
      </c>
      <c r="R315" s="30">
        <v>55.7</v>
      </c>
      <c r="S315" s="30" t="s">
        <v>39</v>
      </c>
      <c r="T315" s="30">
        <v>460.9</v>
      </c>
      <c r="U315" s="31">
        <v>74.099999999999994</v>
      </c>
      <c r="V315" s="31">
        <v>35.299999999999997</v>
      </c>
      <c r="W315" s="31">
        <v>15</v>
      </c>
      <c r="X315" s="31" t="s">
        <v>39</v>
      </c>
      <c r="Y315" s="31">
        <v>124.4</v>
      </c>
      <c r="Z315" s="32">
        <v>56.9</v>
      </c>
      <c r="AA315" s="32">
        <v>0</v>
      </c>
      <c r="AB315" s="32">
        <v>0</v>
      </c>
      <c r="AC315" s="32" t="s">
        <v>39</v>
      </c>
      <c r="AD315" s="32">
        <v>56.9</v>
      </c>
      <c r="AE315" s="33">
        <v>426.5</v>
      </c>
      <c r="AF315" s="33">
        <v>20.9</v>
      </c>
      <c r="AG315" s="33">
        <v>26.5</v>
      </c>
      <c r="AH315" s="33" t="s">
        <v>39</v>
      </c>
      <c r="AI315" s="33">
        <v>473.9</v>
      </c>
      <c r="AJ315" s="34">
        <v>68</v>
      </c>
    </row>
    <row r="316" spans="1:36" ht="63.6" customHeight="1" x14ac:dyDescent="0.25">
      <c r="A316" s="25">
        <v>2021</v>
      </c>
      <c r="B316" s="26">
        <v>40051</v>
      </c>
      <c r="C316" s="27" t="s">
        <v>400</v>
      </c>
      <c r="D316" s="27" t="s">
        <v>67</v>
      </c>
      <c r="E316" s="27" t="s">
        <v>68</v>
      </c>
      <c r="F316" s="28" t="s">
        <v>39</v>
      </c>
      <c r="G316" s="28">
        <v>63</v>
      </c>
      <c r="H316" s="28" t="s">
        <v>39</v>
      </c>
      <c r="I316" s="28" t="s">
        <v>39</v>
      </c>
      <c r="J316" s="28">
        <v>63</v>
      </c>
      <c r="K316" s="29" t="s">
        <v>39</v>
      </c>
      <c r="L316" s="29">
        <v>5.0780000000000003</v>
      </c>
      <c r="M316" s="29" t="s">
        <v>39</v>
      </c>
      <c r="N316" s="29" t="s">
        <v>39</v>
      </c>
      <c r="O316" s="29">
        <v>5.0780000000000003</v>
      </c>
      <c r="P316" s="30" t="s">
        <v>39</v>
      </c>
      <c r="Q316" s="30">
        <v>8.33</v>
      </c>
      <c r="R316" s="30" t="s">
        <v>39</v>
      </c>
      <c r="S316" s="30" t="s">
        <v>39</v>
      </c>
      <c r="T316" s="30">
        <v>8.33</v>
      </c>
      <c r="U316" s="31" t="s">
        <v>39</v>
      </c>
      <c r="V316" s="31">
        <v>5.0780000000000003</v>
      </c>
      <c r="W316" s="31" t="s">
        <v>39</v>
      </c>
      <c r="X316" s="31" t="s">
        <v>39</v>
      </c>
      <c r="Y316" s="31">
        <v>5.0780000000000003</v>
      </c>
      <c r="Z316" s="32" t="s">
        <v>39</v>
      </c>
      <c r="AA316" s="32">
        <v>187.66900000000001</v>
      </c>
      <c r="AB316" s="32" t="s">
        <v>39</v>
      </c>
      <c r="AC316" s="32" t="s">
        <v>39</v>
      </c>
      <c r="AD316" s="32">
        <v>187.66900000000001</v>
      </c>
      <c r="AE316" s="33" t="s">
        <v>39</v>
      </c>
      <c r="AF316" s="33">
        <v>19.734000000000002</v>
      </c>
      <c r="AG316" s="33" t="s">
        <v>39</v>
      </c>
      <c r="AH316" s="33" t="s">
        <v>39</v>
      </c>
      <c r="AI316" s="33">
        <v>19.734000000000002</v>
      </c>
      <c r="AJ316" s="34" t="s">
        <v>39</v>
      </c>
    </row>
    <row r="317" spans="1:36" ht="51" customHeight="1" x14ac:dyDescent="0.25">
      <c r="A317" s="25">
        <v>2021</v>
      </c>
      <c r="B317" s="26">
        <v>40165</v>
      </c>
      <c r="C317" s="27" t="s">
        <v>401</v>
      </c>
      <c r="D317" s="27" t="s">
        <v>286</v>
      </c>
      <c r="E317" s="27" t="s">
        <v>284</v>
      </c>
      <c r="F317" s="28" t="s">
        <v>39</v>
      </c>
      <c r="G317" s="28">
        <v>227</v>
      </c>
      <c r="H317" s="28" t="s">
        <v>39</v>
      </c>
      <c r="I317" s="28" t="s">
        <v>39</v>
      </c>
      <c r="J317" s="28">
        <v>227</v>
      </c>
      <c r="K317" s="29" t="s">
        <v>39</v>
      </c>
      <c r="L317" s="29">
        <v>245.28299999999999</v>
      </c>
      <c r="M317" s="29" t="s">
        <v>39</v>
      </c>
      <c r="N317" s="29" t="s">
        <v>39</v>
      </c>
      <c r="O317" s="29">
        <v>245.28299999999999</v>
      </c>
      <c r="P317" s="30" t="s">
        <v>39</v>
      </c>
      <c r="Q317" s="30">
        <v>18.561</v>
      </c>
      <c r="R317" s="30" t="s">
        <v>39</v>
      </c>
      <c r="S317" s="30" t="s">
        <v>39</v>
      </c>
      <c r="T317" s="30">
        <v>18.561</v>
      </c>
      <c r="U317" s="31" t="s">
        <v>39</v>
      </c>
      <c r="V317" s="31">
        <v>6.5759999999999996</v>
      </c>
      <c r="W317" s="31" t="s">
        <v>39</v>
      </c>
      <c r="X317" s="31" t="s">
        <v>39</v>
      </c>
      <c r="Y317" s="31">
        <v>6.5759999999999996</v>
      </c>
      <c r="Z317" s="32" t="s">
        <v>39</v>
      </c>
      <c r="AA317" s="32">
        <v>511.80799999999999</v>
      </c>
      <c r="AB317" s="32" t="s">
        <v>39</v>
      </c>
      <c r="AC317" s="32" t="s">
        <v>39</v>
      </c>
      <c r="AD317" s="32">
        <v>511.80799999999999</v>
      </c>
      <c r="AE317" s="33" t="s">
        <v>39</v>
      </c>
      <c r="AF317" s="33">
        <v>56</v>
      </c>
      <c r="AG317" s="33" t="s">
        <v>39</v>
      </c>
      <c r="AH317" s="33" t="s">
        <v>39</v>
      </c>
      <c r="AI317" s="33">
        <v>56</v>
      </c>
      <c r="AJ317" s="34" t="s">
        <v>39</v>
      </c>
    </row>
    <row r="318" spans="1:36" ht="51" customHeight="1" x14ac:dyDescent="0.25">
      <c r="A318" s="25">
        <v>2021</v>
      </c>
      <c r="B318" s="26">
        <v>40211</v>
      </c>
      <c r="C318" s="27" t="s">
        <v>402</v>
      </c>
      <c r="D318" s="27" t="s">
        <v>105</v>
      </c>
      <c r="E318" s="27" t="s">
        <v>49</v>
      </c>
      <c r="F318" s="28">
        <v>4381</v>
      </c>
      <c r="G318" s="28">
        <v>0</v>
      </c>
      <c r="H318" s="28">
        <v>3</v>
      </c>
      <c r="I318" s="28">
        <v>0</v>
      </c>
      <c r="J318" s="28">
        <v>4384</v>
      </c>
      <c r="K318" s="29" t="s">
        <v>39</v>
      </c>
      <c r="L318" s="29" t="s">
        <v>39</v>
      </c>
      <c r="M318" s="29" t="s">
        <v>39</v>
      </c>
      <c r="N318" s="29" t="s">
        <v>39</v>
      </c>
      <c r="O318" s="29" t="s">
        <v>39</v>
      </c>
      <c r="P318" s="30">
        <v>8.7970000000000006</v>
      </c>
      <c r="Q318" s="30">
        <v>0</v>
      </c>
      <c r="R318" s="30">
        <v>0.125</v>
      </c>
      <c r="S318" s="30">
        <v>0</v>
      </c>
      <c r="T318" s="30">
        <v>8.9220000000000006</v>
      </c>
      <c r="U318" s="31">
        <v>7.9180000000000001</v>
      </c>
      <c r="V318" s="31">
        <v>0</v>
      </c>
      <c r="W318" s="31">
        <v>0.112</v>
      </c>
      <c r="X318" s="31">
        <v>0</v>
      </c>
      <c r="Y318" s="31">
        <v>8.0299999999999994</v>
      </c>
      <c r="Z318" s="32">
        <v>491.63400000000001</v>
      </c>
      <c r="AA318" s="32">
        <v>0</v>
      </c>
      <c r="AB318" s="32">
        <v>6.7309999999999999</v>
      </c>
      <c r="AC318" s="32">
        <v>0</v>
      </c>
      <c r="AD318" s="32">
        <v>498.36500000000001</v>
      </c>
      <c r="AE318" s="33" t="s">
        <v>39</v>
      </c>
      <c r="AF318" s="33" t="s">
        <v>39</v>
      </c>
      <c r="AG318" s="33" t="s">
        <v>39</v>
      </c>
      <c r="AH318" s="33" t="s">
        <v>39</v>
      </c>
      <c r="AI318" s="33" t="s">
        <v>39</v>
      </c>
      <c r="AJ318" s="34" t="s">
        <v>39</v>
      </c>
    </row>
    <row r="319" spans="1:36" ht="51" customHeight="1" x14ac:dyDescent="0.25">
      <c r="A319" s="25">
        <v>2021</v>
      </c>
      <c r="B319" s="26">
        <v>40211</v>
      </c>
      <c r="C319" s="27" t="s">
        <v>402</v>
      </c>
      <c r="D319" s="27" t="s">
        <v>179</v>
      </c>
      <c r="E319" s="27" t="s">
        <v>52</v>
      </c>
      <c r="F319" s="28">
        <v>0</v>
      </c>
      <c r="G319" s="28">
        <v>0</v>
      </c>
      <c r="H319" s="28">
        <v>97</v>
      </c>
      <c r="I319" s="28">
        <v>0</v>
      </c>
      <c r="J319" s="28">
        <v>97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30">
        <v>0</v>
      </c>
      <c r="Q319" s="30">
        <v>0</v>
      </c>
      <c r="R319" s="30">
        <v>3.2610000000000001</v>
      </c>
      <c r="S319" s="30">
        <v>0</v>
      </c>
      <c r="T319" s="30">
        <v>3.2610000000000001</v>
      </c>
      <c r="U319" s="31">
        <v>0</v>
      </c>
      <c r="V319" s="31">
        <v>0</v>
      </c>
      <c r="W319" s="31">
        <v>2.9350000000000001</v>
      </c>
      <c r="X319" s="31">
        <v>0</v>
      </c>
      <c r="Y319" s="31">
        <v>2.9350000000000001</v>
      </c>
      <c r="Z319" s="32">
        <v>0</v>
      </c>
      <c r="AA319" s="32">
        <v>0</v>
      </c>
      <c r="AB319" s="32">
        <v>175.73</v>
      </c>
      <c r="AC319" s="32">
        <v>0</v>
      </c>
      <c r="AD319" s="32">
        <v>175.73</v>
      </c>
      <c r="AE319" s="33" t="s">
        <v>39</v>
      </c>
      <c r="AF319" s="33" t="s">
        <v>39</v>
      </c>
      <c r="AG319" s="33" t="s">
        <v>39</v>
      </c>
      <c r="AH319" s="33" t="s">
        <v>39</v>
      </c>
      <c r="AI319" s="33" t="s">
        <v>39</v>
      </c>
      <c r="AJ319" s="34" t="s">
        <v>39</v>
      </c>
    </row>
    <row r="320" spans="1:36" ht="51" customHeight="1" x14ac:dyDescent="0.25">
      <c r="A320" s="25">
        <v>2021</v>
      </c>
      <c r="B320" s="26">
        <v>40211</v>
      </c>
      <c r="C320" s="27" t="s">
        <v>402</v>
      </c>
      <c r="D320" s="27" t="s">
        <v>179</v>
      </c>
      <c r="E320" s="27" t="s">
        <v>49</v>
      </c>
      <c r="F320" s="28">
        <v>18690</v>
      </c>
      <c r="G320" s="28">
        <v>21</v>
      </c>
      <c r="H320" s="28">
        <v>462</v>
      </c>
      <c r="I320" s="28">
        <v>0</v>
      </c>
      <c r="J320" s="28">
        <v>19173</v>
      </c>
      <c r="K320" s="29" t="s">
        <v>39</v>
      </c>
      <c r="L320" s="29" t="s">
        <v>39</v>
      </c>
      <c r="M320" s="29" t="s">
        <v>39</v>
      </c>
      <c r="N320" s="29" t="s">
        <v>39</v>
      </c>
      <c r="O320" s="29" t="s">
        <v>39</v>
      </c>
      <c r="P320" s="30">
        <v>17.314</v>
      </c>
      <c r="Q320" s="30">
        <v>5.0490000000000004</v>
      </c>
      <c r="R320" s="30">
        <v>30.419</v>
      </c>
      <c r="S320" s="30">
        <v>0</v>
      </c>
      <c r="T320" s="30">
        <v>52.781999999999996</v>
      </c>
      <c r="U320" s="31">
        <v>15.583</v>
      </c>
      <c r="V320" s="31">
        <v>4.5439999999999996</v>
      </c>
      <c r="W320" s="31">
        <v>27.376999999999999</v>
      </c>
      <c r="X320" s="31">
        <v>0</v>
      </c>
      <c r="Y320" s="31">
        <v>47.503999999999998</v>
      </c>
      <c r="Z320" s="32">
        <v>1061.3869999999999</v>
      </c>
      <c r="AA320" s="32">
        <v>272.11099999999999</v>
      </c>
      <c r="AB320" s="32">
        <v>1639.269</v>
      </c>
      <c r="AC320" s="32" t="s">
        <v>39</v>
      </c>
      <c r="AD320" s="32">
        <v>2972.7669999999998</v>
      </c>
      <c r="AE320" s="33" t="s">
        <v>39</v>
      </c>
      <c r="AF320" s="33" t="s">
        <v>39</v>
      </c>
      <c r="AG320" s="33" t="s">
        <v>39</v>
      </c>
      <c r="AH320" s="33" t="s">
        <v>39</v>
      </c>
      <c r="AI320" s="33" t="s">
        <v>39</v>
      </c>
      <c r="AJ320" s="34" t="s">
        <v>39</v>
      </c>
    </row>
    <row r="321" spans="1:36" ht="51" customHeight="1" x14ac:dyDescent="0.25">
      <c r="A321" s="25">
        <v>2021</v>
      </c>
      <c r="B321" s="26">
        <v>40211</v>
      </c>
      <c r="C321" s="27" t="s">
        <v>402</v>
      </c>
      <c r="D321" s="27" t="s">
        <v>124</v>
      </c>
      <c r="E321" s="27" t="s">
        <v>49</v>
      </c>
      <c r="F321" s="28">
        <v>159</v>
      </c>
      <c r="G321" s="28" t="s">
        <v>39</v>
      </c>
      <c r="H321" s="28" t="s">
        <v>39</v>
      </c>
      <c r="I321" s="28" t="s">
        <v>39</v>
      </c>
      <c r="J321" s="28">
        <v>159</v>
      </c>
      <c r="K321" s="29" t="s">
        <v>39</v>
      </c>
      <c r="L321" s="29" t="s">
        <v>39</v>
      </c>
      <c r="M321" s="29" t="s">
        <v>39</v>
      </c>
      <c r="N321" s="29" t="s">
        <v>39</v>
      </c>
      <c r="O321" s="29" t="s">
        <v>39</v>
      </c>
      <c r="P321" s="30">
        <v>0.13500000000000001</v>
      </c>
      <c r="Q321" s="30" t="s">
        <v>39</v>
      </c>
      <c r="R321" s="30" t="s">
        <v>39</v>
      </c>
      <c r="S321" s="30" t="s">
        <v>39</v>
      </c>
      <c r="T321" s="30">
        <v>0.13500000000000001</v>
      </c>
      <c r="U321" s="31">
        <v>0.121</v>
      </c>
      <c r="V321" s="31" t="s">
        <v>39</v>
      </c>
      <c r="W321" s="31" t="s">
        <v>39</v>
      </c>
      <c r="X321" s="31" t="s">
        <v>39</v>
      </c>
      <c r="Y321" s="31">
        <v>0.121</v>
      </c>
      <c r="Z321" s="32">
        <v>7.2539999999999996</v>
      </c>
      <c r="AA321" s="32" t="s">
        <v>39</v>
      </c>
      <c r="AB321" s="32" t="s">
        <v>39</v>
      </c>
      <c r="AC321" s="32" t="s">
        <v>39</v>
      </c>
      <c r="AD321" s="32">
        <v>7.2539999999999996</v>
      </c>
      <c r="AE321" s="33" t="s">
        <v>39</v>
      </c>
      <c r="AF321" s="33" t="s">
        <v>39</v>
      </c>
      <c r="AG321" s="33" t="s">
        <v>39</v>
      </c>
      <c r="AH321" s="33" t="s">
        <v>39</v>
      </c>
      <c r="AI321" s="33" t="s">
        <v>39</v>
      </c>
      <c r="AJ321" s="34" t="s">
        <v>39</v>
      </c>
    </row>
    <row r="322" spans="1:36" ht="51" customHeight="1" x14ac:dyDescent="0.25">
      <c r="A322" s="25">
        <v>2021</v>
      </c>
      <c r="B322" s="26">
        <v>40212</v>
      </c>
      <c r="C322" s="27" t="s">
        <v>403</v>
      </c>
      <c r="D322" s="27" t="s">
        <v>54</v>
      </c>
      <c r="E322" s="27" t="s">
        <v>38</v>
      </c>
      <c r="F322" s="28" t="s">
        <v>39</v>
      </c>
      <c r="G322" s="28">
        <v>5</v>
      </c>
      <c r="H322" s="28">
        <v>2195</v>
      </c>
      <c r="I322" s="28" t="s">
        <v>39</v>
      </c>
      <c r="J322" s="28">
        <v>2200</v>
      </c>
      <c r="K322" s="29" t="s">
        <v>39</v>
      </c>
      <c r="L322" s="29">
        <v>7</v>
      </c>
      <c r="M322" s="29">
        <v>801</v>
      </c>
      <c r="N322" s="29" t="s">
        <v>39</v>
      </c>
      <c r="O322" s="29">
        <v>808</v>
      </c>
      <c r="P322" s="30" t="s">
        <v>39</v>
      </c>
      <c r="Q322" s="30">
        <v>0.33</v>
      </c>
      <c r="R322" s="30">
        <v>76.281999999999996</v>
      </c>
      <c r="S322" s="30" t="s">
        <v>39</v>
      </c>
      <c r="T322" s="30">
        <v>76.611999999999995</v>
      </c>
      <c r="U322" s="31" t="s">
        <v>39</v>
      </c>
      <c r="V322" s="31">
        <v>0.33</v>
      </c>
      <c r="W322" s="31">
        <v>75.984999999999999</v>
      </c>
      <c r="X322" s="31" t="s">
        <v>39</v>
      </c>
      <c r="Y322" s="31">
        <v>76.314999999999998</v>
      </c>
      <c r="Z322" s="32" t="s">
        <v>39</v>
      </c>
      <c r="AA322" s="32" t="s">
        <v>39</v>
      </c>
      <c r="AB322" s="32" t="s">
        <v>39</v>
      </c>
      <c r="AC322" s="32" t="s">
        <v>39</v>
      </c>
      <c r="AD322" s="32" t="s">
        <v>39</v>
      </c>
      <c r="AE322" s="33" t="s">
        <v>39</v>
      </c>
      <c r="AF322" s="33">
        <v>5</v>
      </c>
      <c r="AG322" s="33">
        <v>50</v>
      </c>
      <c r="AH322" s="33" t="s">
        <v>39</v>
      </c>
      <c r="AI322" s="33">
        <v>55</v>
      </c>
      <c r="AJ322" s="34" t="s">
        <v>39</v>
      </c>
    </row>
    <row r="323" spans="1:36" ht="51" customHeight="1" x14ac:dyDescent="0.25">
      <c r="A323" s="25">
        <v>2021</v>
      </c>
      <c r="B323" s="26">
        <v>40228</v>
      </c>
      <c r="C323" s="27" t="s">
        <v>404</v>
      </c>
      <c r="D323" s="27" t="s">
        <v>57</v>
      </c>
      <c r="E323" s="27" t="s">
        <v>52</v>
      </c>
      <c r="F323" s="28">
        <v>27437</v>
      </c>
      <c r="G323" s="28">
        <v>22</v>
      </c>
      <c r="H323" s="28" t="s">
        <v>39</v>
      </c>
      <c r="I323" s="28" t="s">
        <v>39</v>
      </c>
      <c r="J323" s="28">
        <v>27459</v>
      </c>
      <c r="K323" s="29">
        <v>19.690000000000001</v>
      </c>
      <c r="L323" s="29">
        <v>7.1</v>
      </c>
      <c r="M323" s="29" t="s">
        <v>39</v>
      </c>
      <c r="N323" s="29" t="s">
        <v>39</v>
      </c>
      <c r="O323" s="29">
        <v>26.79</v>
      </c>
      <c r="P323" s="30">
        <v>21.5</v>
      </c>
      <c r="Q323" s="30">
        <v>23.2</v>
      </c>
      <c r="R323" s="30" t="s">
        <v>39</v>
      </c>
      <c r="S323" s="30" t="s">
        <v>39</v>
      </c>
      <c r="T323" s="30">
        <v>44.7</v>
      </c>
      <c r="U323" s="31">
        <v>19.5</v>
      </c>
      <c r="V323" s="31">
        <v>0</v>
      </c>
      <c r="W323" s="31" t="s">
        <v>39</v>
      </c>
      <c r="X323" s="31" t="s">
        <v>39</v>
      </c>
      <c r="Y323" s="31">
        <v>19.5</v>
      </c>
      <c r="Z323" s="32">
        <v>241.89</v>
      </c>
      <c r="AA323" s="32" t="s">
        <v>39</v>
      </c>
      <c r="AB323" s="32" t="s">
        <v>39</v>
      </c>
      <c r="AC323" s="32" t="s">
        <v>39</v>
      </c>
      <c r="AD323" s="32">
        <v>241.89</v>
      </c>
      <c r="AE323" s="33" t="s">
        <v>39</v>
      </c>
      <c r="AF323" s="33" t="s">
        <v>39</v>
      </c>
      <c r="AG323" s="33" t="s">
        <v>39</v>
      </c>
      <c r="AH323" s="33" t="s">
        <v>39</v>
      </c>
      <c r="AI323" s="33" t="s">
        <v>39</v>
      </c>
      <c r="AJ323" s="34" t="s">
        <v>39</v>
      </c>
    </row>
    <row r="324" spans="1:36" ht="63.6" customHeight="1" x14ac:dyDescent="0.25">
      <c r="A324" s="25">
        <v>2021</v>
      </c>
      <c r="B324" s="26">
        <v>44372</v>
      </c>
      <c r="C324" s="27" t="s">
        <v>405</v>
      </c>
      <c r="D324" s="27" t="s">
        <v>67</v>
      </c>
      <c r="E324" s="27" t="s">
        <v>68</v>
      </c>
      <c r="F324" s="28">
        <v>33077</v>
      </c>
      <c r="G324" s="28">
        <v>264</v>
      </c>
      <c r="H324" s="28" t="s">
        <v>39</v>
      </c>
      <c r="I324" s="28" t="s">
        <v>39</v>
      </c>
      <c r="J324" s="28">
        <v>33341</v>
      </c>
      <c r="K324" s="29">
        <v>122.217</v>
      </c>
      <c r="L324" s="29">
        <v>234.374</v>
      </c>
      <c r="M324" s="29" t="s">
        <v>39</v>
      </c>
      <c r="N324" s="29" t="s">
        <v>39</v>
      </c>
      <c r="O324" s="29">
        <v>356.59100000000001</v>
      </c>
      <c r="P324" s="30">
        <v>40.738999999999997</v>
      </c>
      <c r="Q324" s="30">
        <v>78.125</v>
      </c>
      <c r="R324" s="30" t="s">
        <v>39</v>
      </c>
      <c r="S324" s="30" t="s">
        <v>39</v>
      </c>
      <c r="T324" s="30">
        <v>118.864</v>
      </c>
      <c r="U324" s="31">
        <v>40.738999999999997</v>
      </c>
      <c r="V324" s="31">
        <v>78.125</v>
      </c>
      <c r="W324" s="31" t="s">
        <v>39</v>
      </c>
      <c r="X324" s="31" t="s">
        <v>39</v>
      </c>
      <c r="Y324" s="31">
        <v>118.864</v>
      </c>
      <c r="Z324" s="32">
        <v>1304</v>
      </c>
      <c r="AA324" s="32">
        <v>2500</v>
      </c>
      <c r="AB324" s="32" t="s">
        <v>39</v>
      </c>
      <c r="AC324" s="32" t="s">
        <v>39</v>
      </c>
      <c r="AD324" s="32">
        <v>3804</v>
      </c>
      <c r="AE324" s="33">
        <v>113</v>
      </c>
      <c r="AF324" s="33">
        <v>228</v>
      </c>
      <c r="AG324" s="33" t="s">
        <v>39</v>
      </c>
      <c r="AH324" s="33" t="s">
        <v>39</v>
      </c>
      <c r="AI324" s="33">
        <v>341</v>
      </c>
      <c r="AJ324" s="34" t="s">
        <v>39</v>
      </c>
    </row>
    <row r="325" spans="1:36" ht="38.450000000000003" customHeight="1" x14ac:dyDescent="0.25">
      <c r="A325" s="25">
        <v>2021</v>
      </c>
      <c r="B325" s="26">
        <v>54913</v>
      </c>
      <c r="C325" s="27" t="s">
        <v>406</v>
      </c>
      <c r="D325" s="27" t="s">
        <v>139</v>
      </c>
      <c r="E325" s="27" t="s">
        <v>113</v>
      </c>
      <c r="F325" s="28">
        <v>19699</v>
      </c>
      <c r="G325" s="28">
        <v>394</v>
      </c>
      <c r="H325" s="28" t="s">
        <v>39</v>
      </c>
      <c r="I325" s="28" t="s">
        <v>39</v>
      </c>
      <c r="J325" s="28">
        <v>20093</v>
      </c>
      <c r="K325" s="29" t="s">
        <v>39</v>
      </c>
      <c r="L325" s="29" t="s">
        <v>39</v>
      </c>
      <c r="M325" s="29" t="s">
        <v>39</v>
      </c>
      <c r="N325" s="29" t="s">
        <v>39</v>
      </c>
      <c r="O325" s="29" t="s">
        <v>39</v>
      </c>
      <c r="P325" s="30">
        <v>19.727</v>
      </c>
      <c r="Q325" s="30">
        <v>80.224000000000004</v>
      </c>
      <c r="R325" s="30" t="s">
        <v>39</v>
      </c>
      <c r="S325" s="30" t="s">
        <v>39</v>
      </c>
      <c r="T325" s="30">
        <v>99.950999999999993</v>
      </c>
      <c r="U325" s="31">
        <v>19.727</v>
      </c>
      <c r="V325" s="31">
        <v>64.153000000000006</v>
      </c>
      <c r="W325" s="31" t="s">
        <v>39</v>
      </c>
      <c r="X325" s="31" t="s">
        <v>39</v>
      </c>
      <c r="Y325" s="31">
        <v>83.88</v>
      </c>
      <c r="Z325" s="32">
        <v>1135.18</v>
      </c>
      <c r="AA325" s="32">
        <v>5747.63</v>
      </c>
      <c r="AB325" s="32" t="s">
        <v>39</v>
      </c>
      <c r="AC325" s="32" t="s">
        <v>39</v>
      </c>
      <c r="AD325" s="32">
        <v>6882.81</v>
      </c>
      <c r="AE325" s="33">
        <v>1682.31</v>
      </c>
      <c r="AF325" s="33">
        <v>1501.22</v>
      </c>
      <c r="AG325" s="33" t="s">
        <v>39</v>
      </c>
      <c r="AH325" s="33" t="s">
        <v>39</v>
      </c>
      <c r="AI325" s="33">
        <v>3183.53</v>
      </c>
      <c r="AJ325" s="34" t="s">
        <v>39</v>
      </c>
    </row>
    <row r="326" spans="1:36" ht="51" customHeight="1" x14ac:dyDescent="0.25">
      <c r="A326" s="25">
        <v>2021</v>
      </c>
      <c r="B326" s="26">
        <v>55787</v>
      </c>
      <c r="C326" s="27" t="s">
        <v>407</v>
      </c>
      <c r="D326" s="27" t="s">
        <v>42</v>
      </c>
      <c r="E326" s="27" t="s">
        <v>43</v>
      </c>
      <c r="F326" s="28">
        <v>0</v>
      </c>
      <c r="G326" s="28">
        <v>15</v>
      </c>
      <c r="H326" s="28">
        <v>0</v>
      </c>
      <c r="I326" s="28">
        <v>0</v>
      </c>
      <c r="J326" s="28">
        <v>15</v>
      </c>
      <c r="K326" s="29">
        <v>0</v>
      </c>
      <c r="L326" s="29">
        <v>41.445</v>
      </c>
      <c r="M326" s="29">
        <v>0</v>
      </c>
      <c r="N326" s="29">
        <v>0</v>
      </c>
      <c r="O326" s="29">
        <v>41.445</v>
      </c>
      <c r="P326" s="30">
        <v>0</v>
      </c>
      <c r="Q326" s="30">
        <v>0.80800000000000005</v>
      </c>
      <c r="R326" s="30">
        <v>0</v>
      </c>
      <c r="S326" s="30">
        <v>0</v>
      </c>
      <c r="T326" s="30">
        <v>0.80800000000000005</v>
      </c>
      <c r="U326" s="31">
        <v>0</v>
      </c>
      <c r="V326" s="31">
        <v>0.70099999999999996</v>
      </c>
      <c r="W326" s="31">
        <v>0</v>
      </c>
      <c r="X326" s="31">
        <v>0</v>
      </c>
      <c r="Y326" s="31">
        <v>0.70099999999999996</v>
      </c>
      <c r="Z326" s="32">
        <v>0</v>
      </c>
      <c r="AA326" s="32">
        <v>0.08</v>
      </c>
      <c r="AB326" s="32">
        <v>0</v>
      </c>
      <c r="AC326" s="32">
        <v>0</v>
      </c>
      <c r="AD326" s="32">
        <v>0.08</v>
      </c>
      <c r="AE326" s="33">
        <v>0</v>
      </c>
      <c r="AF326" s="33">
        <v>7.5</v>
      </c>
      <c r="AG326" s="33">
        <v>0</v>
      </c>
      <c r="AH326" s="33">
        <v>0</v>
      </c>
      <c r="AI326" s="33">
        <v>7.5</v>
      </c>
      <c r="AJ326" s="34">
        <v>0</v>
      </c>
    </row>
    <row r="327" spans="1:36" ht="38.450000000000003" customHeight="1" x14ac:dyDescent="0.25">
      <c r="A327" s="25">
        <v>2021</v>
      </c>
      <c r="B327" s="26">
        <v>55937</v>
      </c>
      <c r="C327" s="27" t="s">
        <v>408</v>
      </c>
      <c r="D327" s="27" t="s">
        <v>67</v>
      </c>
      <c r="E327" s="27" t="s">
        <v>49</v>
      </c>
      <c r="F327" s="28" t="s">
        <v>39</v>
      </c>
      <c r="G327" s="28">
        <v>8</v>
      </c>
      <c r="H327" s="28">
        <v>4</v>
      </c>
      <c r="I327" s="28" t="s">
        <v>39</v>
      </c>
      <c r="J327" s="28">
        <v>12</v>
      </c>
      <c r="K327" s="29" t="s">
        <v>39</v>
      </c>
      <c r="L327" s="29">
        <v>7.0149999999999997</v>
      </c>
      <c r="M327" s="29" t="s">
        <v>39</v>
      </c>
      <c r="N327" s="29" t="s">
        <v>39</v>
      </c>
      <c r="O327" s="29">
        <v>7.0149999999999997</v>
      </c>
      <c r="P327" s="30" t="s">
        <v>39</v>
      </c>
      <c r="Q327" s="30">
        <v>10.843</v>
      </c>
      <c r="R327" s="30">
        <v>91.5</v>
      </c>
      <c r="S327" s="30" t="s">
        <v>39</v>
      </c>
      <c r="T327" s="30">
        <v>102.343</v>
      </c>
      <c r="U327" s="31" t="s">
        <v>39</v>
      </c>
      <c r="V327" s="31">
        <v>7.0149999999999997</v>
      </c>
      <c r="W327" s="31">
        <v>0</v>
      </c>
      <c r="X327" s="31" t="s">
        <v>39</v>
      </c>
      <c r="Y327" s="31">
        <v>7.0149999999999997</v>
      </c>
      <c r="Z327" s="32" t="s">
        <v>39</v>
      </c>
      <c r="AA327" s="32">
        <v>205.00200000000001</v>
      </c>
      <c r="AB327" s="32" t="s">
        <v>39</v>
      </c>
      <c r="AC327" s="32" t="s">
        <v>39</v>
      </c>
      <c r="AD327" s="32">
        <v>205.00200000000001</v>
      </c>
      <c r="AE327" s="33" t="s">
        <v>39</v>
      </c>
      <c r="AF327" s="33">
        <v>44.948</v>
      </c>
      <c r="AG327" s="33" t="s">
        <v>39</v>
      </c>
      <c r="AH327" s="33" t="s">
        <v>39</v>
      </c>
      <c r="AI327" s="33">
        <v>44.948</v>
      </c>
      <c r="AJ327" s="34" t="s">
        <v>39</v>
      </c>
    </row>
    <row r="328" spans="1:36" ht="38.450000000000003" customHeight="1" x14ac:dyDescent="0.25">
      <c r="A328" s="25">
        <v>2021</v>
      </c>
      <c r="B328" s="26">
        <v>58127</v>
      </c>
      <c r="C328" s="27" t="s">
        <v>409</v>
      </c>
      <c r="D328" s="27" t="s">
        <v>139</v>
      </c>
      <c r="E328" s="27" t="s">
        <v>113</v>
      </c>
      <c r="F328" s="28">
        <v>2146</v>
      </c>
      <c r="G328" s="28" t="s">
        <v>39</v>
      </c>
      <c r="H328" s="28">
        <v>20</v>
      </c>
      <c r="I328" s="28" t="s">
        <v>39</v>
      </c>
      <c r="J328" s="28">
        <v>2166</v>
      </c>
      <c r="K328" s="29" t="s">
        <v>39</v>
      </c>
      <c r="L328" s="29" t="s">
        <v>39</v>
      </c>
      <c r="M328" s="29" t="s">
        <v>39</v>
      </c>
      <c r="N328" s="29" t="s">
        <v>39</v>
      </c>
      <c r="O328" s="29" t="s">
        <v>39</v>
      </c>
      <c r="P328" s="30">
        <v>3.4</v>
      </c>
      <c r="Q328" s="30" t="s">
        <v>39</v>
      </c>
      <c r="R328" s="30">
        <v>6.08</v>
      </c>
      <c r="S328" s="30" t="s">
        <v>39</v>
      </c>
      <c r="T328" s="30">
        <v>9.48</v>
      </c>
      <c r="U328" s="31">
        <v>1.42</v>
      </c>
      <c r="V328" s="31" t="s">
        <v>39</v>
      </c>
      <c r="W328" s="31">
        <v>1.054</v>
      </c>
      <c r="X328" s="31" t="s">
        <v>39</v>
      </c>
      <c r="Y328" s="31">
        <v>2.4740000000000002</v>
      </c>
      <c r="Z328" s="32">
        <v>91.137</v>
      </c>
      <c r="AA328" s="32" t="s">
        <v>39</v>
      </c>
      <c r="AB328" s="32">
        <v>84.298000000000002</v>
      </c>
      <c r="AC328" s="32" t="s">
        <v>39</v>
      </c>
      <c r="AD328" s="32">
        <v>175.435</v>
      </c>
      <c r="AE328" s="33">
        <v>170.37899999999999</v>
      </c>
      <c r="AF328" s="33" t="s">
        <v>39</v>
      </c>
      <c r="AG328" s="33">
        <v>333</v>
      </c>
      <c r="AH328" s="33" t="s">
        <v>39</v>
      </c>
      <c r="AI328" s="33">
        <v>503.37900000000002</v>
      </c>
      <c r="AJ328" s="34" t="s">
        <v>39</v>
      </c>
    </row>
    <row r="329" spans="1:36" ht="51" customHeight="1" x14ac:dyDescent="0.25">
      <c r="A329" s="25">
        <v>2021</v>
      </c>
      <c r="B329" s="26">
        <v>60482</v>
      </c>
      <c r="C329" s="27" t="s">
        <v>410</v>
      </c>
      <c r="D329" s="27" t="s">
        <v>169</v>
      </c>
      <c r="E329" s="27" t="s">
        <v>77</v>
      </c>
      <c r="F329" s="28" t="s">
        <v>39</v>
      </c>
      <c r="G329" s="28" t="s">
        <v>39</v>
      </c>
      <c r="H329" s="28">
        <v>23</v>
      </c>
      <c r="I329" s="28" t="s">
        <v>39</v>
      </c>
      <c r="J329" s="28">
        <v>23</v>
      </c>
      <c r="K329" s="29" t="s">
        <v>39</v>
      </c>
      <c r="L329" s="29" t="s">
        <v>39</v>
      </c>
      <c r="M329" s="29">
        <v>5.8</v>
      </c>
      <c r="N329" s="29" t="s">
        <v>39</v>
      </c>
      <c r="O329" s="29">
        <v>5.8</v>
      </c>
      <c r="P329" s="30" t="s">
        <v>39</v>
      </c>
      <c r="Q329" s="30" t="s">
        <v>39</v>
      </c>
      <c r="R329" s="30">
        <v>22.5</v>
      </c>
      <c r="S329" s="30" t="s">
        <v>39</v>
      </c>
      <c r="T329" s="30">
        <v>22.5</v>
      </c>
      <c r="U329" s="31" t="s">
        <v>39</v>
      </c>
      <c r="V329" s="31" t="s">
        <v>39</v>
      </c>
      <c r="W329" s="31">
        <v>7.2</v>
      </c>
      <c r="X329" s="31" t="s">
        <v>39</v>
      </c>
      <c r="Y329" s="31">
        <v>7.2</v>
      </c>
      <c r="Z329" s="32" t="s">
        <v>39</v>
      </c>
      <c r="AA329" s="32" t="s">
        <v>39</v>
      </c>
      <c r="AB329" s="32" t="s">
        <v>39</v>
      </c>
      <c r="AC329" s="32" t="s">
        <v>39</v>
      </c>
      <c r="AD329" s="32" t="s">
        <v>39</v>
      </c>
      <c r="AE329" s="33" t="s">
        <v>39</v>
      </c>
      <c r="AF329" s="33" t="s">
        <v>39</v>
      </c>
      <c r="AG329" s="33">
        <v>144</v>
      </c>
      <c r="AH329" s="33" t="s">
        <v>39</v>
      </c>
      <c r="AI329" s="33">
        <v>144</v>
      </c>
      <c r="AJ329" s="34" t="s">
        <v>39</v>
      </c>
    </row>
    <row r="330" spans="1:36" ht="63.6" customHeight="1" x14ac:dyDescent="0.25">
      <c r="A330" s="25">
        <v>2021</v>
      </c>
      <c r="B330" s="26">
        <v>60631</v>
      </c>
      <c r="C330" s="27" t="s">
        <v>411</v>
      </c>
      <c r="D330" s="27" t="s">
        <v>116</v>
      </c>
      <c r="E330" s="27" t="s">
        <v>49</v>
      </c>
      <c r="F330" s="28" t="s">
        <v>39</v>
      </c>
      <c r="G330" s="28" t="s">
        <v>39</v>
      </c>
      <c r="H330" s="28">
        <v>3</v>
      </c>
      <c r="I330" s="28" t="s">
        <v>39</v>
      </c>
      <c r="J330" s="28">
        <v>3</v>
      </c>
      <c r="K330" s="29" t="s">
        <v>39</v>
      </c>
      <c r="L330" s="29" t="s">
        <v>39</v>
      </c>
      <c r="M330" s="29" t="s">
        <v>39</v>
      </c>
      <c r="N330" s="29" t="s">
        <v>39</v>
      </c>
      <c r="O330" s="29" t="s">
        <v>39</v>
      </c>
      <c r="P330" s="30" t="s">
        <v>39</v>
      </c>
      <c r="Q330" s="30" t="s">
        <v>39</v>
      </c>
      <c r="R330" s="30">
        <v>162.80000000000001</v>
      </c>
      <c r="S330" s="30" t="s">
        <v>39</v>
      </c>
      <c r="T330" s="30">
        <v>162.80000000000001</v>
      </c>
      <c r="U330" s="31" t="s">
        <v>39</v>
      </c>
      <c r="V330" s="31" t="s">
        <v>39</v>
      </c>
      <c r="W330" s="31" t="s">
        <v>39</v>
      </c>
      <c r="X330" s="31" t="s">
        <v>39</v>
      </c>
      <c r="Y330" s="31" t="s">
        <v>39</v>
      </c>
      <c r="Z330" s="32" t="s">
        <v>39</v>
      </c>
      <c r="AA330" s="32" t="s">
        <v>39</v>
      </c>
      <c r="AB330" s="32" t="s">
        <v>39</v>
      </c>
      <c r="AC330" s="32" t="s">
        <v>39</v>
      </c>
      <c r="AD330" s="32" t="s">
        <v>39</v>
      </c>
      <c r="AE330" s="33" t="s">
        <v>39</v>
      </c>
      <c r="AF330" s="33" t="s">
        <v>39</v>
      </c>
      <c r="AG330" s="33" t="s">
        <v>39</v>
      </c>
      <c r="AH330" s="33" t="s">
        <v>39</v>
      </c>
      <c r="AI330" s="33" t="s">
        <v>39</v>
      </c>
      <c r="AJ330" s="34" t="s">
        <v>39</v>
      </c>
    </row>
    <row r="331" spans="1:36" ht="38.450000000000003" customHeight="1" x14ac:dyDescent="0.25">
      <c r="A331" s="7">
        <v>2020</v>
      </c>
      <c r="B331" s="8">
        <v>19126</v>
      </c>
      <c r="C331" s="9" t="s">
        <v>359</v>
      </c>
      <c r="D331" s="9" t="s">
        <v>67</v>
      </c>
      <c r="E331" s="9" t="s">
        <v>68</v>
      </c>
      <c r="F331" s="10">
        <v>5612</v>
      </c>
      <c r="G331" s="10">
        <v>17</v>
      </c>
      <c r="H331" s="10">
        <v>0</v>
      </c>
      <c r="I331" s="10">
        <v>0</v>
      </c>
      <c r="J331" s="10">
        <v>5629</v>
      </c>
      <c r="K331" s="11">
        <v>171.77</v>
      </c>
      <c r="L331" s="11">
        <v>0.128</v>
      </c>
      <c r="M331" s="11">
        <v>0</v>
      </c>
      <c r="N331" s="11">
        <v>0</v>
      </c>
      <c r="O331" s="11">
        <v>171.898</v>
      </c>
      <c r="P331" s="12">
        <v>74.150000000000006</v>
      </c>
      <c r="Q331" s="12">
        <v>8.5000000000000006E-2</v>
      </c>
      <c r="R331" s="12">
        <v>0</v>
      </c>
      <c r="S331" s="12">
        <v>0</v>
      </c>
      <c r="T331" s="12">
        <v>74.234999999999999</v>
      </c>
      <c r="U331" s="13">
        <v>12.82</v>
      </c>
      <c r="V331" s="13">
        <v>6.0000000000000001E-3</v>
      </c>
      <c r="W331" s="13">
        <v>0</v>
      </c>
      <c r="X331" s="13">
        <v>0</v>
      </c>
      <c r="Y331" s="13">
        <v>12.826000000000001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6">
        <v>0</v>
      </c>
    </row>
    <row r="332" spans="1:36" ht="38.450000000000003" customHeight="1" x14ac:dyDescent="0.25">
      <c r="A332" s="7">
        <v>2020</v>
      </c>
      <c r="B332" s="8">
        <v>19157</v>
      </c>
      <c r="C332" s="9" t="s">
        <v>360</v>
      </c>
      <c r="D332" s="9" t="s">
        <v>119</v>
      </c>
      <c r="E332" s="9" t="s">
        <v>49</v>
      </c>
      <c r="F332" s="10">
        <v>2792</v>
      </c>
      <c r="G332" s="10">
        <v>184</v>
      </c>
      <c r="H332" s="10" t="s">
        <v>39</v>
      </c>
      <c r="I332" s="10" t="s">
        <v>39</v>
      </c>
      <c r="J332" s="10">
        <v>2976</v>
      </c>
      <c r="K332" s="11">
        <v>0</v>
      </c>
      <c r="L332" s="11">
        <v>0</v>
      </c>
      <c r="M332" s="11" t="s">
        <v>39</v>
      </c>
      <c r="N332" s="11" t="s">
        <v>39</v>
      </c>
      <c r="O332" s="11">
        <v>0</v>
      </c>
      <c r="P332" s="12">
        <v>1.4019999999999999</v>
      </c>
      <c r="Q332" s="12">
        <v>4.7290000000000001</v>
      </c>
      <c r="R332" s="12" t="s">
        <v>39</v>
      </c>
      <c r="S332" s="12" t="s">
        <v>39</v>
      </c>
      <c r="T332" s="12">
        <v>6.1310000000000002</v>
      </c>
      <c r="U332" s="13">
        <v>1.258</v>
      </c>
      <c r="V332" s="13">
        <v>4.2439999999999998</v>
      </c>
      <c r="W332" s="13" t="s">
        <v>39</v>
      </c>
      <c r="X332" s="13" t="s">
        <v>39</v>
      </c>
      <c r="Y332" s="13">
        <v>5.5019999999999998</v>
      </c>
      <c r="Z332" s="14">
        <v>232.67599999999999</v>
      </c>
      <c r="AA332" s="14">
        <v>15.327999999999999</v>
      </c>
      <c r="AB332" s="14" t="s">
        <v>39</v>
      </c>
      <c r="AC332" s="14" t="s">
        <v>39</v>
      </c>
      <c r="AD332" s="14">
        <v>248.00399999999999</v>
      </c>
      <c r="AE332" s="15">
        <v>150.51900000000001</v>
      </c>
      <c r="AF332" s="15">
        <v>9.81</v>
      </c>
      <c r="AG332" s="15" t="s">
        <v>39</v>
      </c>
      <c r="AH332" s="15" t="s">
        <v>39</v>
      </c>
      <c r="AI332" s="15">
        <v>160.32900000000001</v>
      </c>
      <c r="AJ332" s="16">
        <v>47</v>
      </c>
    </row>
    <row r="333" spans="1:36" ht="38.450000000000003" customHeight="1" x14ac:dyDescent="0.25">
      <c r="A333" s="7">
        <v>2020</v>
      </c>
      <c r="B333" s="8">
        <v>19157</v>
      </c>
      <c r="C333" s="9" t="s">
        <v>360</v>
      </c>
      <c r="D333" s="9" t="s">
        <v>48</v>
      </c>
      <c r="E333" s="9" t="s">
        <v>49</v>
      </c>
      <c r="F333" s="10">
        <v>6314</v>
      </c>
      <c r="G333" s="10">
        <v>416</v>
      </c>
      <c r="H333" s="10" t="s">
        <v>39</v>
      </c>
      <c r="I333" s="10" t="s">
        <v>39</v>
      </c>
      <c r="J333" s="10">
        <v>6730</v>
      </c>
      <c r="K333" s="11">
        <v>0</v>
      </c>
      <c r="L333" s="11">
        <v>0</v>
      </c>
      <c r="M333" s="11" t="s">
        <v>39</v>
      </c>
      <c r="N333" s="11" t="s">
        <v>39</v>
      </c>
      <c r="O333" s="11">
        <v>0</v>
      </c>
      <c r="P333" s="12">
        <v>3.17</v>
      </c>
      <c r="Q333" s="12">
        <v>10.696999999999999</v>
      </c>
      <c r="R333" s="12" t="s">
        <v>39</v>
      </c>
      <c r="S333" s="12" t="s">
        <v>39</v>
      </c>
      <c r="T333" s="12">
        <v>13.867000000000001</v>
      </c>
      <c r="U333" s="13">
        <v>2.8450000000000002</v>
      </c>
      <c r="V333" s="13">
        <v>9.5990000000000002</v>
      </c>
      <c r="W333" s="13" t="s">
        <v>39</v>
      </c>
      <c r="X333" s="13" t="s">
        <v>39</v>
      </c>
      <c r="Y333" s="13">
        <v>12.444000000000001</v>
      </c>
      <c r="Z333" s="14">
        <v>526.32399999999996</v>
      </c>
      <c r="AA333" s="14">
        <v>34.671999999999997</v>
      </c>
      <c r="AB333" s="14" t="s">
        <v>39</v>
      </c>
      <c r="AC333" s="14" t="s">
        <v>39</v>
      </c>
      <c r="AD333" s="14">
        <v>560.99599999999998</v>
      </c>
      <c r="AE333" s="15">
        <v>340.48099999999999</v>
      </c>
      <c r="AF333" s="15">
        <v>22.19</v>
      </c>
      <c r="AG333" s="15" t="s">
        <v>39</v>
      </c>
      <c r="AH333" s="15" t="s">
        <v>39</v>
      </c>
      <c r="AI333" s="15">
        <v>362.67099999999999</v>
      </c>
      <c r="AJ333" s="16">
        <v>124</v>
      </c>
    </row>
    <row r="334" spans="1:36" ht="63.6" customHeight="1" x14ac:dyDescent="0.25">
      <c r="A334" s="7">
        <v>2020</v>
      </c>
      <c r="B334" s="8">
        <v>19160</v>
      </c>
      <c r="C334" s="9" t="s">
        <v>361</v>
      </c>
      <c r="D334" s="9" t="s">
        <v>169</v>
      </c>
      <c r="E334" s="9" t="s">
        <v>77</v>
      </c>
      <c r="F334" s="10" t="s">
        <v>39</v>
      </c>
      <c r="G334" s="10" t="s">
        <v>39</v>
      </c>
      <c r="H334" s="10">
        <v>13</v>
      </c>
      <c r="I334" s="10" t="s">
        <v>39</v>
      </c>
      <c r="J334" s="10">
        <v>13</v>
      </c>
      <c r="K334" s="11" t="s">
        <v>39</v>
      </c>
      <c r="L334" s="11" t="s">
        <v>39</v>
      </c>
      <c r="M334" s="11">
        <v>257</v>
      </c>
      <c r="N334" s="11" t="s">
        <v>39</v>
      </c>
      <c r="O334" s="11">
        <v>257</v>
      </c>
      <c r="P334" s="12" t="s">
        <v>39</v>
      </c>
      <c r="Q334" s="12" t="s">
        <v>39</v>
      </c>
      <c r="R334" s="12">
        <v>0.70499999999999996</v>
      </c>
      <c r="S334" s="12" t="s">
        <v>39</v>
      </c>
      <c r="T334" s="12">
        <v>0.70499999999999996</v>
      </c>
      <c r="U334" s="13" t="s">
        <v>39</v>
      </c>
      <c r="V334" s="13" t="s">
        <v>39</v>
      </c>
      <c r="W334" s="13">
        <v>0.66800000000000004</v>
      </c>
      <c r="X334" s="13" t="s">
        <v>39</v>
      </c>
      <c r="Y334" s="13">
        <v>0.66800000000000004</v>
      </c>
      <c r="Z334" s="14" t="s">
        <v>39</v>
      </c>
      <c r="AA334" s="14" t="s">
        <v>39</v>
      </c>
      <c r="AB334" s="14">
        <v>4.03</v>
      </c>
      <c r="AC334" s="14" t="s">
        <v>39</v>
      </c>
      <c r="AD334" s="14">
        <v>4.03</v>
      </c>
      <c r="AE334" s="15" t="s">
        <v>39</v>
      </c>
      <c r="AF334" s="15" t="s">
        <v>39</v>
      </c>
      <c r="AG334" s="15">
        <v>1.5</v>
      </c>
      <c r="AH334" s="15" t="s">
        <v>39</v>
      </c>
      <c r="AI334" s="15">
        <v>1.5</v>
      </c>
      <c r="AJ334" s="16" t="s">
        <v>39</v>
      </c>
    </row>
    <row r="335" spans="1:36" ht="51" customHeight="1" x14ac:dyDescent="0.25">
      <c r="A335" s="7">
        <v>2020</v>
      </c>
      <c r="B335" s="8">
        <v>19189</v>
      </c>
      <c r="C335" s="9" t="s">
        <v>362</v>
      </c>
      <c r="D335" s="9" t="s">
        <v>60</v>
      </c>
      <c r="E335" s="9" t="s">
        <v>348</v>
      </c>
      <c r="F335" s="10" t="s">
        <v>39</v>
      </c>
      <c r="G335" s="10">
        <v>19</v>
      </c>
      <c r="H335" s="10">
        <v>2</v>
      </c>
      <c r="I335" s="10" t="s">
        <v>39</v>
      </c>
      <c r="J335" s="10">
        <v>21</v>
      </c>
      <c r="K335" s="11" t="s">
        <v>39</v>
      </c>
      <c r="L335" s="11" t="s">
        <v>39</v>
      </c>
      <c r="M335" s="11" t="s">
        <v>39</v>
      </c>
      <c r="N335" s="11" t="s">
        <v>39</v>
      </c>
      <c r="O335" s="11" t="s">
        <v>39</v>
      </c>
      <c r="P335" s="12" t="s">
        <v>39</v>
      </c>
      <c r="Q335" s="12">
        <v>1.2</v>
      </c>
      <c r="R335" s="12">
        <v>2.5999999999999999E-2</v>
      </c>
      <c r="S335" s="12" t="s">
        <v>39</v>
      </c>
      <c r="T335" s="12">
        <v>1.226</v>
      </c>
      <c r="U335" s="13" t="s">
        <v>39</v>
      </c>
      <c r="V335" s="13">
        <v>5.2999999999999999E-2</v>
      </c>
      <c r="W335" s="13">
        <v>2.3E-2</v>
      </c>
      <c r="X335" s="13" t="s">
        <v>39</v>
      </c>
      <c r="Y335" s="13">
        <v>7.5999999999999998E-2</v>
      </c>
      <c r="Z335" s="14" t="s">
        <v>39</v>
      </c>
      <c r="AA335" s="14" t="s">
        <v>39</v>
      </c>
      <c r="AB335" s="14" t="s">
        <v>39</v>
      </c>
      <c r="AC335" s="14" t="s">
        <v>39</v>
      </c>
      <c r="AD335" s="14" t="s">
        <v>39</v>
      </c>
      <c r="AE335" s="15" t="s">
        <v>39</v>
      </c>
      <c r="AF335" s="15" t="s">
        <v>39</v>
      </c>
      <c r="AG335" s="15" t="s">
        <v>39</v>
      </c>
      <c r="AH335" s="15" t="s">
        <v>39</v>
      </c>
      <c r="AI335" s="15" t="s">
        <v>39</v>
      </c>
      <c r="AJ335" s="16" t="s">
        <v>39</v>
      </c>
    </row>
    <row r="336" spans="1:36" ht="51" customHeight="1" x14ac:dyDescent="0.25">
      <c r="A336" s="7">
        <v>2020</v>
      </c>
      <c r="B336" s="8">
        <v>19327</v>
      </c>
      <c r="C336" s="9" t="s">
        <v>412</v>
      </c>
      <c r="D336" s="9" t="s">
        <v>67</v>
      </c>
      <c r="E336" s="9" t="s">
        <v>68</v>
      </c>
      <c r="F336" s="10">
        <v>4889</v>
      </c>
      <c r="G336" s="10">
        <v>0</v>
      </c>
      <c r="H336" s="10">
        <v>0</v>
      </c>
      <c r="I336" s="10">
        <v>0</v>
      </c>
      <c r="J336" s="10">
        <v>4889</v>
      </c>
      <c r="K336" s="11">
        <v>11.12</v>
      </c>
      <c r="L336" s="11">
        <v>0</v>
      </c>
      <c r="M336" s="11">
        <v>0</v>
      </c>
      <c r="N336" s="11">
        <v>0</v>
      </c>
      <c r="O336" s="11">
        <v>11.12</v>
      </c>
      <c r="P336" s="12">
        <v>28.27</v>
      </c>
      <c r="Q336" s="12">
        <v>0</v>
      </c>
      <c r="R336" s="12">
        <v>0</v>
      </c>
      <c r="S336" s="12">
        <v>0</v>
      </c>
      <c r="T336" s="12">
        <v>28.27</v>
      </c>
      <c r="U336" s="13">
        <v>6.0549999999999997</v>
      </c>
      <c r="V336" s="13">
        <v>0</v>
      </c>
      <c r="W336" s="13">
        <v>0</v>
      </c>
      <c r="X336" s="13">
        <v>0</v>
      </c>
      <c r="Y336" s="13">
        <v>6.0549999999999997</v>
      </c>
      <c r="Z336" s="14">
        <v>0</v>
      </c>
      <c r="AA336" s="14">
        <v>0</v>
      </c>
      <c r="AB336" s="14" t="s">
        <v>39</v>
      </c>
      <c r="AC336" s="14">
        <v>0</v>
      </c>
      <c r="AD336" s="14">
        <v>0</v>
      </c>
      <c r="AE336" s="15">
        <v>292.29899999999998</v>
      </c>
      <c r="AF336" s="15">
        <v>0</v>
      </c>
      <c r="AG336" s="15">
        <v>0</v>
      </c>
      <c r="AH336" s="15">
        <v>0</v>
      </c>
      <c r="AI336" s="15">
        <v>292.29899999999998</v>
      </c>
      <c r="AJ336" s="16">
        <v>0</v>
      </c>
    </row>
    <row r="337" spans="1:36" ht="63.6" customHeight="1" x14ac:dyDescent="0.25">
      <c r="A337" s="7">
        <v>2020</v>
      </c>
      <c r="B337" s="8">
        <v>19396</v>
      </c>
      <c r="C337" s="9" t="s">
        <v>363</v>
      </c>
      <c r="D337" s="9" t="s">
        <v>116</v>
      </c>
      <c r="E337" s="9" t="s">
        <v>49</v>
      </c>
      <c r="F337" s="10">
        <v>6010</v>
      </c>
      <c r="G337" s="10" t="s">
        <v>39</v>
      </c>
      <c r="H337" s="10" t="s">
        <v>39</v>
      </c>
      <c r="I337" s="10" t="s">
        <v>39</v>
      </c>
      <c r="J337" s="10">
        <v>6010</v>
      </c>
      <c r="K337" s="11">
        <v>0</v>
      </c>
      <c r="L337" s="11" t="s">
        <v>39</v>
      </c>
      <c r="M337" s="11" t="s">
        <v>39</v>
      </c>
      <c r="N337" s="11" t="s">
        <v>39</v>
      </c>
      <c r="O337" s="11">
        <v>0</v>
      </c>
      <c r="P337" s="12">
        <v>25.3</v>
      </c>
      <c r="Q337" s="12" t="s">
        <v>39</v>
      </c>
      <c r="R337" s="12" t="s">
        <v>39</v>
      </c>
      <c r="S337" s="12" t="s">
        <v>39</v>
      </c>
      <c r="T337" s="12">
        <v>25.3</v>
      </c>
      <c r="U337" s="13">
        <v>14</v>
      </c>
      <c r="V337" s="13" t="s">
        <v>39</v>
      </c>
      <c r="W337" s="13" t="s">
        <v>39</v>
      </c>
      <c r="X337" s="13" t="s">
        <v>39</v>
      </c>
      <c r="Y337" s="13">
        <v>14</v>
      </c>
      <c r="Z337" s="14">
        <v>524.48</v>
      </c>
      <c r="AA337" s="14" t="s">
        <v>39</v>
      </c>
      <c r="AB337" s="14" t="s">
        <v>39</v>
      </c>
      <c r="AC337" s="14" t="s">
        <v>39</v>
      </c>
      <c r="AD337" s="14">
        <v>524.48</v>
      </c>
      <c r="AE337" s="15">
        <v>0</v>
      </c>
      <c r="AF337" s="15" t="s">
        <v>39</v>
      </c>
      <c r="AG337" s="15" t="s">
        <v>39</v>
      </c>
      <c r="AH337" s="15" t="s">
        <v>39</v>
      </c>
      <c r="AI337" s="15">
        <v>0</v>
      </c>
      <c r="AJ337" s="16">
        <v>28</v>
      </c>
    </row>
    <row r="338" spans="1:36" ht="51" customHeight="1" x14ac:dyDescent="0.25">
      <c r="A338" s="7">
        <v>2020</v>
      </c>
      <c r="B338" s="8">
        <v>19436</v>
      </c>
      <c r="C338" s="9" t="s">
        <v>364</v>
      </c>
      <c r="D338" s="9" t="s">
        <v>124</v>
      </c>
      <c r="E338" s="9" t="s">
        <v>49</v>
      </c>
      <c r="F338" s="10">
        <v>27761</v>
      </c>
      <c r="G338" s="10">
        <v>225</v>
      </c>
      <c r="H338" s="10">
        <v>60</v>
      </c>
      <c r="I338" s="10" t="s">
        <v>39</v>
      </c>
      <c r="J338" s="10">
        <v>28046</v>
      </c>
      <c r="K338" s="11">
        <v>3500.8829999999998</v>
      </c>
      <c r="L338" s="11">
        <v>0</v>
      </c>
      <c r="M338" s="11">
        <v>0</v>
      </c>
      <c r="N338" s="11" t="s">
        <v>39</v>
      </c>
      <c r="O338" s="11">
        <v>3500.8829999999998</v>
      </c>
      <c r="P338" s="12">
        <v>27.100999999999999</v>
      </c>
      <c r="Q338" s="12">
        <v>35.975000000000001</v>
      </c>
      <c r="R338" s="12">
        <v>26.14</v>
      </c>
      <c r="S338" s="12" t="s">
        <v>39</v>
      </c>
      <c r="T338" s="12">
        <v>89.215999999999994</v>
      </c>
      <c r="U338" s="13" t="s">
        <v>39</v>
      </c>
      <c r="V338" s="13" t="s">
        <v>39</v>
      </c>
      <c r="W338" s="13" t="s">
        <v>39</v>
      </c>
      <c r="X338" s="13" t="s">
        <v>39</v>
      </c>
      <c r="Y338" s="13" t="s">
        <v>39</v>
      </c>
      <c r="Z338" s="14">
        <v>1050.3499999999999</v>
      </c>
      <c r="AA338" s="14">
        <v>0</v>
      </c>
      <c r="AB338" s="14">
        <v>0</v>
      </c>
      <c r="AC338" s="14" t="s">
        <v>39</v>
      </c>
      <c r="AD338" s="14">
        <v>1050.3499999999999</v>
      </c>
      <c r="AE338" s="15">
        <v>3657.9050000000002</v>
      </c>
      <c r="AF338" s="15">
        <v>1657.885</v>
      </c>
      <c r="AG338" s="15">
        <v>1204.645</v>
      </c>
      <c r="AH338" s="15" t="s">
        <v>39</v>
      </c>
      <c r="AI338" s="15">
        <v>6520.4350000000004</v>
      </c>
      <c r="AJ338" s="16" t="s">
        <v>39</v>
      </c>
    </row>
    <row r="339" spans="1:36" ht="38.450000000000003" customHeight="1" x14ac:dyDescent="0.25">
      <c r="A339" s="7">
        <v>2020</v>
      </c>
      <c r="B339" s="8">
        <v>19446</v>
      </c>
      <c r="C339" s="9" t="s">
        <v>365</v>
      </c>
      <c r="D339" s="9" t="s">
        <v>142</v>
      </c>
      <c r="E339" s="9" t="s">
        <v>52</v>
      </c>
      <c r="F339" s="10">
        <v>12076</v>
      </c>
      <c r="G339" s="10">
        <v>17</v>
      </c>
      <c r="H339" s="10" t="s">
        <v>39</v>
      </c>
      <c r="I339" s="10" t="s">
        <v>39</v>
      </c>
      <c r="J339" s="10">
        <v>12093</v>
      </c>
      <c r="K339" s="11" t="s">
        <v>39</v>
      </c>
      <c r="L339" s="11" t="s">
        <v>39</v>
      </c>
      <c r="M339" s="11" t="s">
        <v>39</v>
      </c>
      <c r="N339" s="11" t="s">
        <v>39</v>
      </c>
      <c r="O339" s="11" t="s">
        <v>39</v>
      </c>
      <c r="P339" s="12">
        <v>12.8</v>
      </c>
      <c r="Q339" s="12">
        <v>15.44</v>
      </c>
      <c r="R339" s="12" t="s">
        <v>39</v>
      </c>
      <c r="S339" s="12" t="s">
        <v>39</v>
      </c>
      <c r="T339" s="12">
        <v>28.24</v>
      </c>
      <c r="U339" s="13" t="s">
        <v>39</v>
      </c>
      <c r="V339" s="13" t="s">
        <v>39</v>
      </c>
      <c r="W339" s="13" t="s">
        <v>39</v>
      </c>
      <c r="X339" s="13" t="s">
        <v>39</v>
      </c>
      <c r="Y339" s="13" t="s">
        <v>39</v>
      </c>
      <c r="Z339" s="14">
        <v>185.65600000000001</v>
      </c>
      <c r="AA339" s="14">
        <v>383.18299999999999</v>
      </c>
      <c r="AB339" s="14" t="s">
        <v>39</v>
      </c>
      <c r="AC339" s="14" t="s">
        <v>39</v>
      </c>
      <c r="AD339" s="14">
        <v>568.83900000000006</v>
      </c>
      <c r="AE339" s="15">
        <v>431.74200000000002</v>
      </c>
      <c r="AF339" s="15">
        <v>191.02799999999999</v>
      </c>
      <c r="AG339" s="15" t="s">
        <v>39</v>
      </c>
      <c r="AH339" s="15" t="s">
        <v>39</v>
      </c>
      <c r="AI339" s="15">
        <v>622.77</v>
      </c>
      <c r="AJ339" s="16" t="s">
        <v>39</v>
      </c>
    </row>
    <row r="340" spans="1:36" ht="63.6" customHeight="1" x14ac:dyDescent="0.25">
      <c r="A340" s="7">
        <v>2020</v>
      </c>
      <c r="B340" s="8">
        <v>19490</v>
      </c>
      <c r="C340" s="9" t="s">
        <v>366</v>
      </c>
      <c r="D340" s="9" t="s">
        <v>67</v>
      </c>
      <c r="E340" s="9" t="s">
        <v>68</v>
      </c>
      <c r="F340" s="10">
        <v>32936</v>
      </c>
      <c r="G340" s="10">
        <v>5816</v>
      </c>
      <c r="H340" s="10">
        <v>32</v>
      </c>
      <c r="I340" s="10" t="s">
        <v>39</v>
      </c>
      <c r="J340" s="10">
        <v>38784</v>
      </c>
      <c r="K340" s="11">
        <v>225.69499999999999</v>
      </c>
      <c r="L340" s="11">
        <v>95.033000000000001</v>
      </c>
      <c r="M340" s="11">
        <v>106.393</v>
      </c>
      <c r="N340" s="11" t="s">
        <v>39</v>
      </c>
      <c r="O340" s="11">
        <v>427.12099999999998</v>
      </c>
      <c r="P340" s="12">
        <v>2.9420000000000002</v>
      </c>
      <c r="Q340" s="12">
        <v>0.89100000000000001</v>
      </c>
      <c r="R340" s="12">
        <v>0.997</v>
      </c>
      <c r="S340" s="12" t="s">
        <v>39</v>
      </c>
      <c r="T340" s="12">
        <v>4.83</v>
      </c>
      <c r="U340" s="13">
        <v>2.9420000000000002</v>
      </c>
      <c r="V340" s="13">
        <v>0.89100000000000001</v>
      </c>
      <c r="W340" s="13">
        <v>0.997</v>
      </c>
      <c r="X340" s="13" t="s">
        <v>39</v>
      </c>
      <c r="Y340" s="13">
        <v>4.83</v>
      </c>
      <c r="Z340" s="14">
        <v>96.144999999999996</v>
      </c>
      <c r="AA340" s="14" t="s">
        <v>39</v>
      </c>
      <c r="AB340" s="14" t="s">
        <v>39</v>
      </c>
      <c r="AC340" s="14" t="s">
        <v>39</v>
      </c>
      <c r="AD340" s="14">
        <v>96.144999999999996</v>
      </c>
      <c r="AE340" s="15" t="s">
        <v>39</v>
      </c>
      <c r="AF340" s="15" t="s">
        <v>39</v>
      </c>
      <c r="AG340" s="15" t="s">
        <v>39</v>
      </c>
      <c r="AH340" s="15" t="s">
        <v>39</v>
      </c>
      <c r="AI340" s="15" t="s">
        <v>39</v>
      </c>
      <c r="AJ340" s="16" t="s">
        <v>39</v>
      </c>
    </row>
    <row r="341" spans="1:36" ht="38.450000000000003" customHeight="1" x14ac:dyDescent="0.25">
      <c r="A341" s="7">
        <v>2020</v>
      </c>
      <c r="B341" s="8">
        <v>19499</v>
      </c>
      <c r="C341" s="9" t="s">
        <v>367</v>
      </c>
      <c r="D341" s="9" t="s">
        <v>107</v>
      </c>
      <c r="E341" s="9" t="s">
        <v>186</v>
      </c>
      <c r="F341" s="10">
        <v>1562</v>
      </c>
      <c r="G341" s="10">
        <v>0</v>
      </c>
      <c r="H341" s="10">
        <v>20</v>
      </c>
      <c r="I341" s="10">
        <v>0</v>
      </c>
      <c r="J341" s="10">
        <v>1582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2">
        <v>2.343</v>
      </c>
      <c r="Q341" s="12">
        <v>0</v>
      </c>
      <c r="R341" s="12">
        <v>11.955</v>
      </c>
      <c r="S341" s="12">
        <v>0</v>
      </c>
      <c r="T341" s="12">
        <v>14.298</v>
      </c>
      <c r="U341" s="13">
        <v>0</v>
      </c>
      <c r="V341" s="13">
        <v>0</v>
      </c>
      <c r="W341" s="13">
        <v>8.6880000000000006</v>
      </c>
      <c r="X341" s="13">
        <v>0</v>
      </c>
      <c r="Y341" s="13">
        <v>8.6880000000000006</v>
      </c>
      <c r="Z341" s="14">
        <v>39.049999999999997</v>
      </c>
      <c r="AA341" s="14">
        <v>0</v>
      </c>
      <c r="AB341" s="14">
        <v>0</v>
      </c>
      <c r="AC341" s="14">
        <v>0</v>
      </c>
      <c r="AD341" s="14">
        <v>39.049999999999997</v>
      </c>
      <c r="AE341" s="15">
        <v>186.5</v>
      </c>
      <c r="AF341" s="15">
        <v>0</v>
      </c>
      <c r="AG341" s="15">
        <v>760.34699999999998</v>
      </c>
      <c r="AH341" s="15">
        <v>0</v>
      </c>
      <c r="AI341" s="15">
        <v>946.84699999999998</v>
      </c>
      <c r="AJ341" s="16" t="s">
        <v>39</v>
      </c>
    </row>
    <row r="342" spans="1:36" ht="38.450000000000003" customHeight="1" x14ac:dyDescent="0.25">
      <c r="A342" s="7">
        <v>2020</v>
      </c>
      <c r="B342" s="8">
        <v>19547</v>
      </c>
      <c r="C342" s="9" t="s">
        <v>368</v>
      </c>
      <c r="D342" s="9" t="s">
        <v>182</v>
      </c>
      <c r="E342" s="9" t="s">
        <v>369</v>
      </c>
      <c r="F342" s="10">
        <v>33903</v>
      </c>
      <c r="G342" s="10">
        <v>228</v>
      </c>
      <c r="H342" s="10" t="s">
        <v>39</v>
      </c>
      <c r="I342" s="10" t="s">
        <v>39</v>
      </c>
      <c r="J342" s="10">
        <v>34131</v>
      </c>
      <c r="K342" s="11">
        <v>212.12200000000001</v>
      </c>
      <c r="L342" s="11">
        <v>355.92</v>
      </c>
      <c r="M342" s="11" t="s">
        <v>39</v>
      </c>
      <c r="N342" s="11" t="s">
        <v>39</v>
      </c>
      <c r="O342" s="11">
        <v>568.04200000000003</v>
      </c>
      <c r="P342" s="12">
        <v>14.813000000000001</v>
      </c>
      <c r="Q342" s="12">
        <v>16.2</v>
      </c>
      <c r="R342" s="12" t="s">
        <v>39</v>
      </c>
      <c r="S342" s="12" t="s">
        <v>39</v>
      </c>
      <c r="T342" s="12">
        <v>31.013000000000002</v>
      </c>
      <c r="U342" s="13" t="s">
        <v>39</v>
      </c>
      <c r="V342" s="13" t="s">
        <v>39</v>
      </c>
      <c r="W342" s="13" t="s">
        <v>39</v>
      </c>
      <c r="X342" s="13" t="s">
        <v>39</v>
      </c>
      <c r="Y342" s="13" t="s">
        <v>39</v>
      </c>
      <c r="Z342" s="14">
        <v>1289.21</v>
      </c>
      <c r="AA342" s="14">
        <v>2004.9590000000001</v>
      </c>
      <c r="AB342" s="14" t="s">
        <v>39</v>
      </c>
      <c r="AC342" s="14" t="s">
        <v>39</v>
      </c>
      <c r="AD342" s="14">
        <v>3294.1689999999999</v>
      </c>
      <c r="AE342" s="15">
        <v>431.90100000000001</v>
      </c>
      <c r="AF342" s="15">
        <v>652.39400000000001</v>
      </c>
      <c r="AG342" s="15" t="s">
        <v>39</v>
      </c>
      <c r="AH342" s="15" t="s">
        <v>39</v>
      </c>
      <c r="AI342" s="15">
        <v>1084.2950000000001</v>
      </c>
      <c r="AJ342" s="16" t="s">
        <v>39</v>
      </c>
    </row>
    <row r="343" spans="1:36" ht="38.450000000000003" customHeight="1" x14ac:dyDescent="0.25">
      <c r="A343" s="7">
        <v>2020</v>
      </c>
      <c r="B343" s="8">
        <v>19728</v>
      </c>
      <c r="C343" s="9" t="s">
        <v>370</v>
      </c>
      <c r="D343" s="9" t="s">
        <v>60</v>
      </c>
      <c r="E343" s="9" t="s">
        <v>371</v>
      </c>
      <c r="F343" s="10" t="s">
        <v>39</v>
      </c>
      <c r="G343" s="10">
        <v>29</v>
      </c>
      <c r="H343" s="10" t="s">
        <v>39</v>
      </c>
      <c r="I343" s="10" t="s">
        <v>39</v>
      </c>
      <c r="J343" s="10">
        <v>29</v>
      </c>
      <c r="K343" s="11" t="s">
        <v>39</v>
      </c>
      <c r="L343" s="11">
        <v>0</v>
      </c>
      <c r="M343" s="11" t="s">
        <v>39</v>
      </c>
      <c r="N343" s="11" t="s">
        <v>39</v>
      </c>
      <c r="O343" s="11">
        <v>0</v>
      </c>
      <c r="P343" s="12" t="s">
        <v>39</v>
      </c>
      <c r="Q343" s="12">
        <v>5.53</v>
      </c>
      <c r="R343" s="12" t="s">
        <v>39</v>
      </c>
      <c r="S343" s="12" t="s">
        <v>39</v>
      </c>
      <c r="T343" s="12">
        <v>5.53</v>
      </c>
      <c r="U343" s="13" t="s">
        <v>39</v>
      </c>
      <c r="V343" s="13">
        <v>5.53</v>
      </c>
      <c r="W343" s="13" t="s">
        <v>39</v>
      </c>
      <c r="X343" s="13" t="s">
        <v>39</v>
      </c>
      <c r="Y343" s="13">
        <v>5.53</v>
      </c>
      <c r="Z343" s="14" t="s">
        <v>39</v>
      </c>
      <c r="AA343" s="14">
        <v>0</v>
      </c>
      <c r="AB343" s="14" t="s">
        <v>39</v>
      </c>
      <c r="AC343" s="14" t="s">
        <v>39</v>
      </c>
      <c r="AD343" s="14">
        <v>0</v>
      </c>
      <c r="AE343" s="15" t="s">
        <v>39</v>
      </c>
      <c r="AF343" s="15">
        <v>0.17</v>
      </c>
      <c r="AG343" s="15" t="s">
        <v>39</v>
      </c>
      <c r="AH343" s="15" t="s">
        <v>39</v>
      </c>
      <c r="AI343" s="15">
        <v>0.17</v>
      </c>
      <c r="AJ343" s="16" t="s">
        <v>39</v>
      </c>
    </row>
    <row r="344" spans="1:36" ht="38.450000000000003" customHeight="1" x14ac:dyDescent="0.25">
      <c r="A344" s="7">
        <v>2020</v>
      </c>
      <c r="B344" s="8">
        <v>19790</v>
      </c>
      <c r="C344" s="9" t="s">
        <v>372</v>
      </c>
      <c r="D344" s="9" t="s">
        <v>84</v>
      </c>
      <c r="E344" s="9" t="s">
        <v>49</v>
      </c>
      <c r="F344" s="10">
        <v>3381</v>
      </c>
      <c r="G344" s="10">
        <v>376</v>
      </c>
      <c r="H344" s="10">
        <v>0</v>
      </c>
      <c r="I344" s="10">
        <v>0</v>
      </c>
      <c r="J344" s="10">
        <v>3757</v>
      </c>
      <c r="K344" s="11" t="s">
        <v>39</v>
      </c>
      <c r="L344" s="11" t="s">
        <v>39</v>
      </c>
      <c r="M344" s="11" t="s">
        <v>39</v>
      </c>
      <c r="N344" s="11" t="s">
        <v>39</v>
      </c>
      <c r="O344" s="11" t="s">
        <v>39</v>
      </c>
      <c r="P344" s="12">
        <v>15.2</v>
      </c>
      <c r="Q344" s="12">
        <v>1.7</v>
      </c>
      <c r="R344" s="12">
        <v>0</v>
      </c>
      <c r="S344" s="12">
        <v>0</v>
      </c>
      <c r="T344" s="12">
        <v>16.899999999999999</v>
      </c>
      <c r="U344" s="13">
        <v>5.9</v>
      </c>
      <c r="V344" s="13">
        <v>0.7</v>
      </c>
      <c r="W344" s="13">
        <v>0</v>
      </c>
      <c r="X344" s="13">
        <v>0</v>
      </c>
      <c r="Y344" s="13">
        <v>6.6</v>
      </c>
      <c r="Z344" s="14">
        <v>103</v>
      </c>
      <c r="AA344" s="14">
        <v>11.4</v>
      </c>
      <c r="AB344" s="14">
        <v>0</v>
      </c>
      <c r="AC344" s="14">
        <v>0</v>
      </c>
      <c r="AD344" s="14">
        <v>114.4</v>
      </c>
      <c r="AE344" s="15">
        <v>17.3</v>
      </c>
      <c r="AF344" s="15">
        <v>1.9</v>
      </c>
      <c r="AG344" s="15">
        <v>0</v>
      </c>
      <c r="AH344" s="15">
        <v>0</v>
      </c>
      <c r="AI344" s="15">
        <v>19.2</v>
      </c>
      <c r="AJ344" s="16" t="s">
        <v>39</v>
      </c>
    </row>
    <row r="345" spans="1:36" ht="26.1" customHeight="1" x14ac:dyDescent="0.25">
      <c r="A345" s="7">
        <v>2020</v>
      </c>
      <c r="B345" s="8">
        <v>19798</v>
      </c>
      <c r="C345" s="9" t="s">
        <v>373</v>
      </c>
      <c r="D345" s="9" t="s">
        <v>42</v>
      </c>
      <c r="E345" s="9" t="s">
        <v>43</v>
      </c>
      <c r="F345" s="10" t="s">
        <v>39</v>
      </c>
      <c r="G345" s="10" t="s">
        <v>39</v>
      </c>
      <c r="H345" s="10">
        <v>1</v>
      </c>
      <c r="I345" s="10" t="s">
        <v>39</v>
      </c>
      <c r="J345" s="10">
        <v>1</v>
      </c>
      <c r="K345" s="11" t="s">
        <v>39</v>
      </c>
      <c r="L345" s="11" t="s">
        <v>39</v>
      </c>
      <c r="M345" s="11" t="s">
        <v>39</v>
      </c>
      <c r="N345" s="11" t="s">
        <v>39</v>
      </c>
      <c r="O345" s="11" t="s">
        <v>39</v>
      </c>
      <c r="P345" s="12" t="s">
        <v>39</v>
      </c>
      <c r="Q345" s="12" t="s">
        <v>39</v>
      </c>
      <c r="R345" s="12">
        <v>12.65</v>
      </c>
      <c r="S345" s="12" t="s">
        <v>39</v>
      </c>
      <c r="T345" s="12">
        <v>12.65</v>
      </c>
      <c r="U345" s="13" t="s">
        <v>39</v>
      </c>
      <c r="V345" s="13" t="s">
        <v>39</v>
      </c>
      <c r="W345" s="13">
        <v>0</v>
      </c>
      <c r="X345" s="13" t="s">
        <v>39</v>
      </c>
      <c r="Y345" s="13">
        <v>0</v>
      </c>
      <c r="Z345" s="14" t="s">
        <v>39</v>
      </c>
      <c r="AA345" s="14" t="s">
        <v>39</v>
      </c>
      <c r="AB345" s="14">
        <v>2493.79</v>
      </c>
      <c r="AC345" s="14" t="s">
        <v>39</v>
      </c>
      <c r="AD345" s="14">
        <v>2493.79</v>
      </c>
      <c r="AE345" s="15" t="s">
        <v>39</v>
      </c>
      <c r="AF345" s="15" t="s">
        <v>39</v>
      </c>
      <c r="AG345" s="15" t="s">
        <v>39</v>
      </c>
      <c r="AH345" s="15" t="s">
        <v>39</v>
      </c>
      <c r="AI345" s="15" t="s">
        <v>39</v>
      </c>
      <c r="AJ345" s="16" t="s">
        <v>39</v>
      </c>
    </row>
    <row r="346" spans="1:36" ht="51" customHeight="1" x14ac:dyDescent="0.25">
      <c r="A346" s="7">
        <v>2020</v>
      </c>
      <c r="B346" s="8">
        <v>19820</v>
      </c>
      <c r="C346" s="9" t="s">
        <v>413</v>
      </c>
      <c r="D346" s="9" t="s">
        <v>207</v>
      </c>
      <c r="E346" s="9" t="s">
        <v>77</v>
      </c>
      <c r="F346" s="10" t="s">
        <v>39</v>
      </c>
      <c r="G346" s="10" t="s">
        <v>39</v>
      </c>
      <c r="H346" s="10" t="s">
        <v>39</v>
      </c>
      <c r="I346" s="10" t="s">
        <v>39</v>
      </c>
      <c r="J346" s="10" t="s">
        <v>39</v>
      </c>
      <c r="K346" s="11" t="s">
        <v>39</v>
      </c>
      <c r="L346" s="11" t="s">
        <v>39</v>
      </c>
      <c r="M346" s="11" t="s">
        <v>39</v>
      </c>
      <c r="N346" s="11" t="s">
        <v>39</v>
      </c>
      <c r="O346" s="11" t="s">
        <v>39</v>
      </c>
      <c r="P346" s="12" t="s">
        <v>39</v>
      </c>
      <c r="Q346" s="12" t="s">
        <v>39</v>
      </c>
      <c r="R346" s="12" t="s">
        <v>39</v>
      </c>
      <c r="S346" s="12" t="s">
        <v>39</v>
      </c>
      <c r="T346" s="12" t="s">
        <v>39</v>
      </c>
      <c r="U346" s="13" t="s">
        <v>39</v>
      </c>
      <c r="V346" s="13" t="s">
        <v>39</v>
      </c>
      <c r="W346" s="13" t="s">
        <v>39</v>
      </c>
      <c r="X346" s="13" t="s">
        <v>39</v>
      </c>
      <c r="Y346" s="13" t="s">
        <v>39</v>
      </c>
      <c r="Z346" s="14" t="s">
        <v>39</v>
      </c>
      <c r="AA346" s="14" t="s">
        <v>39</v>
      </c>
      <c r="AB346" s="14" t="s">
        <v>39</v>
      </c>
      <c r="AC346" s="14" t="s">
        <v>39</v>
      </c>
      <c r="AD346" s="14" t="s">
        <v>39</v>
      </c>
      <c r="AE346" s="15" t="s">
        <v>39</v>
      </c>
      <c r="AF346" s="15" t="s">
        <v>39</v>
      </c>
      <c r="AG346" s="15" t="s">
        <v>39</v>
      </c>
      <c r="AH346" s="15" t="s">
        <v>39</v>
      </c>
      <c r="AI346" s="15" t="s">
        <v>39</v>
      </c>
      <c r="AJ346" s="16" t="s">
        <v>39</v>
      </c>
    </row>
    <row r="347" spans="1:36" ht="51" customHeight="1" x14ac:dyDescent="0.25">
      <c r="A347" s="7">
        <v>2020</v>
      </c>
      <c r="B347" s="8">
        <v>19876</v>
      </c>
      <c r="C347" s="9" t="s">
        <v>374</v>
      </c>
      <c r="D347" s="9" t="s">
        <v>79</v>
      </c>
      <c r="E347" s="9" t="s">
        <v>52</v>
      </c>
      <c r="F347" s="10">
        <v>2789</v>
      </c>
      <c r="G347" s="10" t="s">
        <v>39</v>
      </c>
      <c r="H347" s="10" t="s">
        <v>39</v>
      </c>
      <c r="I347" s="10" t="s">
        <v>39</v>
      </c>
      <c r="J347" s="10">
        <v>2789</v>
      </c>
      <c r="K347" s="11">
        <v>0</v>
      </c>
      <c r="L347" s="11" t="s">
        <v>39</v>
      </c>
      <c r="M347" s="11" t="s">
        <v>39</v>
      </c>
      <c r="N347" s="11" t="s">
        <v>39</v>
      </c>
      <c r="O347" s="11">
        <v>0</v>
      </c>
      <c r="P347" s="12">
        <v>2.2999999999999998</v>
      </c>
      <c r="Q347" s="12" t="s">
        <v>39</v>
      </c>
      <c r="R347" s="12" t="s">
        <v>39</v>
      </c>
      <c r="S347" s="12" t="s">
        <v>39</v>
      </c>
      <c r="T347" s="12">
        <v>2.2999999999999998</v>
      </c>
      <c r="U347" s="13">
        <v>2.2999999999999998</v>
      </c>
      <c r="V347" s="13" t="s">
        <v>39</v>
      </c>
      <c r="W347" s="13" t="s">
        <v>39</v>
      </c>
      <c r="X347" s="13" t="s">
        <v>39</v>
      </c>
      <c r="Y347" s="13">
        <v>2.2999999999999998</v>
      </c>
      <c r="Z347" s="14">
        <v>115</v>
      </c>
      <c r="AA347" s="14" t="s">
        <v>39</v>
      </c>
      <c r="AB347" s="14" t="s">
        <v>39</v>
      </c>
      <c r="AC347" s="14" t="s">
        <v>39</v>
      </c>
      <c r="AD347" s="14">
        <v>115</v>
      </c>
      <c r="AE347" s="15">
        <v>109</v>
      </c>
      <c r="AF347" s="15" t="s">
        <v>39</v>
      </c>
      <c r="AG347" s="15" t="s">
        <v>39</v>
      </c>
      <c r="AH347" s="15" t="s">
        <v>39</v>
      </c>
      <c r="AI347" s="15">
        <v>109</v>
      </c>
      <c r="AJ347" s="16">
        <v>0</v>
      </c>
    </row>
    <row r="348" spans="1:36" ht="51" customHeight="1" x14ac:dyDescent="0.25">
      <c r="A348" s="7">
        <v>2020</v>
      </c>
      <c r="B348" s="8">
        <v>19876</v>
      </c>
      <c r="C348" s="9" t="s">
        <v>374</v>
      </c>
      <c r="D348" s="9" t="s">
        <v>57</v>
      </c>
      <c r="E348" s="9" t="s">
        <v>52</v>
      </c>
      <c r="F348" s="10">
        <v>68463</v>
      </c>
      <c r="G348" s="10">
        <v>21</v>
      </c>
      <c r="H348" s="10" t="s">
        <v>39</v>
      </c>
      <c r="I348" s="10" t="s">
        <v>39</v>
      </c>
      <c r="J348" s="10">
        <v>68484</v>
      </c>
      <c r="K348" s="11">
        <v>0</v>
      </c>
      <c r="L348" s="11">
        <v>0</v>
      </c>
      <c r="M348" s="11" t="s">
        <v>39</v>
      </c>
      <c r="N348" s="11" t="s">
        <v>39</v>
      </c>
      <c r="O348" s="11">
        <v>0</v>
      </c>
      <c r="P348" s="12">
        <v>55.4</v>
      </c>
      <c r="Q348" s="12">
        <v>6.6</v>
      </c>
      <c r="R348" s="12" t="s">
        <v>39</v>
      </c>
      <c r="S348" s="12" t="s">
        <v>39</v>
      </c>
      <c r="T348" s="12">
        <v>62</v>
      </c>
      <c r="U348" s="13">
        <v>55.4</v>
      </c>
      <c r="V348" s="13">
        <v>6.6</v>
      </c>
      <c r="W348" s="13" t="s">
        <v>39</v>
      </c>
      <c r="X348" s="13" t="s">
        <v>39</v>
      </c>
      <c r="Y348" s="13">
        <v>62</v>
      </c>
      <c r="Z348" s="14">
        <v>2686</v>
      </c>
      <c r="AA348" s="14">
        <v>473</v>
      </c>
      <c r="AB348" s="14" t="s">
        <v>39</v>
      </c>
      <c r="AC348" s="14" t="s">
        <v>39</v>
      </c>
      <c r="AD348" s="14">
        <v>3159</v>
      </c>
      <c r="AE348" s="15">
        <v>2602</v>
      </c>
      <c r="AF348" s="15">
        <v>98</v>
      </c>
      <c r="AG348" s="15" t="s">
        <v>39</v>
      </c>
      <c r="AH348" s="15" t="s">
        <v>39</v>
      </c>
      <c r="AI348" s="15">
        <v>2700</v>
      </c>
      <c r="AJ348" s="16">
        <v>0</v>
      </c>
    </row>
    <row r="349" spans="1:36" ht="38.450000000000003" customHeight="1" x14ac:dyDescent="0.25">
      <c r="A349" s="7">
        <v>2020</v>
      </c>
      <c r="B349" s="8">
        <v>19896</v>
      </c>
      <c r="C349" s="9" t="s">
        <v>375</v>
      </c>
      <c r="D349" s="9" t="s">
        <v>76</v>
      </c>
      <c r="E349" s="9" t="s">
        <v>77</v>
      </c>
      <c r="F349" s="10" t="s">
        <v>39</v>
      </c>
      <c r="G349" s="10" t="s">
        <v>39</v>
      </c>
      <c r="H349" s="10" t="s">
        <v>39</v>
      </c>
      <c r="I349" s="10" t="s">
        <v>39</v>
      </c>
      <c r="J349" s="10" t="s">
        <v>39</v>
      </c>
      <c r="K349" s="11" t="s">
        <v>39</v>
      </c>
      <c r="L349" s="11" t="s">
        <v>39</v>
      </c>
      <c r="M349" s="11" t="s">
        <v>39</v>
      </c>
      <c r="N349" s="11" t="s">
        <v>39</v>
      </c>
      <c r="O349" s="11" t="s">
        <v>39</v>
      </c>
      <c r="P349" s="12" t="s">
        <v>39</v>
      </c>
      <c r="Q349" s="12" t="s">
        <v>39</v>
      </c>
      <c r="R349" s="12" t="s">
        <v>39</v>
      </c>
      <c r="S349" s="12" t="s">
        <v>39</v>
      </c>
      <c r="T349" s="12" t="s">
        <v>39</v>
      </c>
      <c r="U349" s="13" t="s">
        <v>39</v>
      </c>
      <c r="V349" s="13" t="s">
        <v>39</v>
      </c>
      <c r="W349" s="13" t="s">
        <v>39</v>
      </c>
      <c r="X349" s="13" t="s">
        <v>39</v>
      </c>
      <c r="Y349" s="13" t="s">
        <v>39</v>
      </c>
      <c r="Z349" s="14" t="s">
        <v>39</v>
      </c>
      <c r="AA349" s="14" t="s">
        <v>39</v>
      </c>
      <c r="AB349" s="14" t="s">
        <v>39</v>
      </c>
      <c r="AC349" s="14" t="s">
        <v>39</v>
      </c>
      <c r="AD349" s="14" t="s">
        <v>39</v>
      </c>
      <c r="AE349" s="15" t="s">
        <v>39</v>
      </c>
      <c r="AF349" s="15" t="s">
        <v>39</v>
      </c>
      <c r="AG349" s="15" t="s">
        <v>39</v>
      </c>
      <c r="AH349" s="15" t="s">
        <v>39</v>
      </c>
      <c r="AI349" s="15" t="s">
        <v>39</v>
      </c>
      <c r="AJ349" s="16" t="s">
        <v>39</v>
      </c>
    </row>
    <row r="350" spans="1:36" ht="38.450000000000003" customHeight="1" x14ac:dyDescent="0.25">
      <c r="A350" s="7">
        <v>2020</v>
      </c>
      <c r="B350" s="8">
        <v>19951</v>
      </c>
      <c r="C350" s="9" t="s">
        <v>376</v>
      </c>
      <c r="D350" s="9" t="s">
        <v>101</v>
      </c>
      <c r="E350" s="9" t="s">
        <v>52</v>
      </c>
      <c r="F350" s="10">
        <v>550</v>
      </c>
      <c r="G350" s="10" t="s">
        <v>39</v>
      </c>
      <c r="H350" s="10" t="s">
        <v>39</v>
      </c>
      <c r="I350" s="10" t="s">
        <v>39</v>
      </c>
      <c r="J350" s="10">
        <v>550</v>
      </c>
      <c r="K350" s="11" t="s">
        <v>39</v>
      </c>
      <c r="L350" s="11" t="s">
        <v>39</v>
      </c>
      <c r="M350" s="11" t="s">
        <v>39</v>
      </c>
      <c r="N350" s="11" t="s">
        <v>39</v>
      </c>
      <c r="O350" s="11" t="s">
        <v>39</v>
      </c>
      <c r="P350" s="12">
        <v>0.5</v>
      </c>
      <c r="Q350" s="12" t="s">
        <v>39</v>
      </c>
      <c r="R350" s="12" t="s">
        <v>39</v>
      </c>
      <c r="S350" s="12" t="s">
        <v>39</v>
      </c>
      <c r="T350" s="12">
        <v>0.5</v>
      </c>
      <c r="U350" s="13" t="s">
        <v>39</v>
      </c>
      <c r="V350" s="13" t="s">
        <v>39</v>
      </c>
      <c r="W350" s="13" t="s">
        <v>39</v>
      </c>
      <c r="X350" s="13" t="s">
        <v>39</v>
      </c>
      <c r="Y350" s="13" t="s">
        <v>39</v>
      </c>
      <c r="Z350" s="14">
        <v>22</v>
      </c>
      <c r="AA350" s="14" t="s">
        <v>39</v>
      </c>
      <c r="AB350" s="14" t="s">
        <v>39</v>
      </c>
      <c r="AC350" s="14" t="s">
        <v>39</v>
      </c>
      <c r="AD350" s="14">
        <v>22</v>
      </c>
      <c r="AE350" s="15">
        <v>52</v>
      </c>
      <c r="AF350" s="15" t="s">
        <v>39</v>
      </c>
      <c r="AG350" s="15" t="s">
        <v>39</v>
      </c>
      <c r="AH350" s="15" t="s">
        <v>39</v>
      </c>
      <c r="AI350" s="15">
        <v>52</v>
      </c>
      <c r="AJ350" s="16" t="s">
        <v>39</v>
      </c>
    </row>
    <row r="351" spans="1:36" ht="51" customHeight="1" x14ac:dyDescent="0.25">
      <c r="A351" s="7">
        <v>2020</v>
      </c>
      <c r="B351" s="8">
        <v>19981</v>
      </c>
      <c r="C351" s="9" t="s">
        <v>377</v>
      </c>
      <c r="D351" s="9" t="s">
        <v>79</v>
      </c>
      <c r="E351" s="9" t="s">
        <v>86</v>
      </c>
      <c r="F351" s="10" t="s">
        <v>39</v>
      </c>
      <c r="G351" s="10">
        <v>5</v>
      </c>
      <c r="H351" s="10">
        <v>1</v>
      </c>
      <c r="I351" s="10" t="s">
        <v>39</v>
      </c>
      <c r="J351" s="10">
        <v>6</v>
      </c>
      <c r="K351" s="11" t="s">
        <v>39</v>
      </c>
      <c r="L351" s="11">
        <v>0.13200000000000001</v>
      </c>
      <c r="M351" s="11">
        <v>0.317</v>
      </c>
      <c r="N351" s="11" t="s">
        <v>39</v>
      </c>
      <c r="O351" s="11">
        <v>0.44900000000000001</v>
      </c>
      <c r="P351" s="12" t="s">
        <v>39</v>
      </c>
      <c r="Q351" s="12">
        <v>2.8450000000000002</v>
      </c>
      <c r="R351" s="12">
        <v>7.4560000000000004</v>
      </c>
      <c r="S351" s="12" t="s">
        <v>39</v>
      </c>
      <c r="T351" s="12">
        <v>10.301</v>
      </c>
      <c r="U351" s="13" t="s">
        <v>39</v>
      </c>
      <c r="V351" s="13">
        <v>2.8450000000000002</v>
      </c>
      <c r="W351" s="13">
        <v>7.4560000000000004</v>
      </c>
      <c r="X351" s="13" t="s">
        <v>39</v>
      </c>
      <c r="Y351" s="13">
        <v>10.301</v>
      </c>
      <c r="Z351" s="14" t="s">
        <v>39</v>
      </c>
      <c r="AA351" s="14" t="s">
        <v>39</v>
      </c>
      <c r="AB351" s="14" t="s">
        <v>39</v>
      </c>
      <c r="AC351" s="14" t="s">
        <v>39</v>
      </c>
      <c r="AD351" s="14" t="s">
        <v>39</v>
      </c>
      <c r="AE351" s="15" t="s">
        <v>39</v>
      </c>
      <c r="AF351" s="15" t="s">
        <v>39</v>
      </c>
      <c r="AG351" s="15" t="s">
        <v>39</v>
      </c>
      <c r="AH351" s="15" t="s">
        <v>39</v>
      </c>
      <c r="AI351" s="15" t="s">
        <v>39</v>
      </c>
      <c r="AJ351" s="16" t="s">
        <v>39</v>
      </c>
    </row>
    <row r="352" spans="1:36" ht="51" customHeight="1" x14ac:dyDescent="0.25">
      <c r="A352" s="7">
        <v>2020</v>
      </c>
      <c r="B352" s="8">
        <v>20387</v>
      </c>
      <c r="C352" s="9" t="s">
        <v>414</v>
      </c>
      <c r="D352" s="9" t="s">
        <v>51</v>
      </c>
      <c r="E352" s="9" t="s">
        <v>52</v>
      </c>
      <c r="F352" s="10">
        <v>48000</v>
      </c>
      <c r="G352" s="10">
        <v>50</v>
      </c>
      <c r="H352" s="10">
        <v>29</v>
      </c>
      <c r="I352" s="10">
        <v>0</v>
      </c>
      <c r="J352" s="10">
        <v>48079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2">
        <v>2.8</v>
      </c>
      <c r="Q352" s="12">
        <v>1.2</v>
      </c>
      <c r="R352" s="12">
        <v>87.3</v>
      </c>
      <c r="S352" s="12">
        <v>0</v>
      </c>
      <c r="T352" s="12">
        <v>91.3</v>
      </c>
      <c r="U352" s="13">
        <v>2.8</v>
      </c>
      <c r="V352" s="13">
        <v>1.2</v>
      </c>
      <c r="W352" s="13">
        <v>87.3</v>
      </c>
      <c r="X352" s="13">
        <v>0</v>
      </c>
      <c r="Y352" s="13">
        <v>91.3</v>
      </c>
      <c r="Z352" s="14">
        <v>0</v>
      </c>
      <c r="AA352" s="14">
        <v>2.714</v>
      </c>
      <c r="AB352" s="14">
        <v>159.28700000000001</v>
      </c>
      <c r="AC352" s="14">
        <v>0</v>
      </c>
      <c r="AD352" s="14">
        <v>162.001</v>
      </c>
      <c r="AE352" s="15">
        <v>231.01499999999999</v>
      </c>
      <c r="AF352" s="15">
        <v>33.89</v>
      </c>
      <c r="AG352" s="15">
        <v>892.94899999999996</v>
      </c>
      <c r="AH352" s="15">
        <v>0</v>
      </c>
      <c r="AI352" s="15">
        <v>1157.854</v>
      </c>
      <c r="AJ352" s="16" t="s">
        <v>39</v>
      </c>
    </row>
    <row r="353" spans="1:36" ht="51" customHeight="1" x14ac:dyDescent="0.25">
      <c r="A353" s="7">
        <v>2020</v>
      </c>
      <c r="B353" s="8">
        <v>20401</v>
      </c>
      <c r="C353" s="9" t="s">
        <v>378</v>
      </c>
      <c r="D353" s="9" t="s">
        <v>76</v>
      </c>
      <c r="E353" s="9" t="s">
        <v>77</v>
      </c>
      <c r="F353" s="10">
        <v>3862</v>
      </c>
      <c r="G353" s="10" t="s">
        <v>39</v>
      </c>
      <c r="H353" s="10" t="s">
        <v>39</v>
      </c>
      <c r="I353" s="10" t="s">
        <v>39</v>
      </c>
      <c r="J353" s="10">
        <v>3862</v>
      </c>
      <c r="K353" s="11" t="s">
        <v>39</v>
      </c>
      <c r="L353" s="11" t="s">
        <v>39</v>
      </c>
      <c r="M353" s="11" t="s">
        <v>39</v>
      </c>
      <c r="N353" s="11" t="s">
        <v>39</v>
      </c>
      <c r="O353" s="11" t="s">
        <v>39</v>
      </c>
      <c r="P353" s="12">
        <v>35.67</v>
      </c>
      <c r="Q353" s="12" t="s">
        <v>39</v>
      </c>
      <c r="R353" s="12" t="s">
        <v>39</v>
      </c>
      <c r="S353" s="12" t="s">
        <v>39</v>
      </c>
      <c r="T353" s="12">
        <v>35.67</v>
      </c>
      <c r="U353" s="13">
        <v>23.49</v>
      </c>
      <c r="V353" s="13" t="s">
        <v>39</v>
      </c>
      <c r="W353" s="13" t="s">
        <v>39</v>
      </c>
      <c r="X353" s="13" t="s">
        <v>39</v>
      </c>
      <c r="Y353" s="13">
        <v>23.49</v>
      </c>
      <c r="Z353" s="14">
        <v>36</v>
      </c>
      <c r="AA353" s="14" t="s">
        <v>39</v>
      </c>
      <c r="AB353" s="14" t="s">
        <v>39</v>
      </c>
      <c r="AC353" s="14" t="s">
        <v>39</v>
      </c>
      <c r="AD353" s="14">
        <v>36</v>
      </c>
      <c r="AE353" s="15">
        <v>57</v>
      </c>
      <c r="AF353" s="15" t="s">
        <v>39</v>
      </c>
      <c r="AG353" s="15" t="s">
        <v>39</v>
      </c>
      <c r="AH353" s="15" t="s">
        <v>39</v>
      </c>
      <c r="AI353" s="15">
        <v>57</v>
      </c>
      <c r="AJ353" s="16" t="s">
        <v>39</v>
      </c>
    </row>
    <row r="354" spans="1:36" ht="51" customHeight="1" x14ac:dyDescent="0.25">
      <c r="A354" s="7">
        <v>2020</v>
      </c>
      <c r="B354" s="8">
        <v>20404</v>
      </c>
      <c r="C354" s="9" t="s">
        <v>379</v>
      </c>
      <c r="D354" s="9" t="s">
        <v>67</v>
      </c>
      <c r="E354" s="9" t="s">
        <v>68</v>
      </c>
      <c r="F354" s="10" t="s">
        <v>39</v>
      </c>
      <c r="G354" s="10" t="s">
        <v>39</v>
      </c>
      <c r="H354" s="10" t="s">
        <v>39</v>
      </c>
      <c r="I354" s="10" t="s">
        <v>39</v>
      </c>
      <c r="J354" s="10" t="s">
        <v>39</v>
      </c>
      <c r="K354" s="11" t="s">
        <v>39</v>
      </c>
      <c r="L354" s="11" t="s">
        <v>39</v>
      </c>
      <c r="M354" s="11" t="s">
        <v>39</v>
      </c>
      <c r="N354" s="11" t="s">
        <v>39</v>
      </c>
      <c r="O354" s="11" t="s">
        <v>39</v>
      </c>
      <c r="P354" s="12" t="s">
        <v>39</v>
      </c>
      <c r="Q354" s="12" t="s">
        <v>39</v>
      </c>
      <c r="R354" s="12" t="s">
        <v>39</v>
      </c>
      <c r="S354" s="12" t="s">
        <v>39</v>
      </c>
      <c r="T354" s="12" t="s">
        <v>39</v>
      </c>
      <c r="U354" s="13" t="s">
        <v>39</v>
      </c>
      <c r="V354" s="13" t="s">
        <v>39</v>
      </c>
      <c r="W354" s="13" t="s">
        <v>39</v>
      </c>
      <c r="X354" s="13" t="s">
        <v>39</v>
      </c>
      <c r="Y354" s="13" t="s">
        <v>39</v>
      </c>
      <c r="Z354" s="14" t="s">
        <v>39</v>
      </c>
      <c r="AA354" s="14" t="s">
        <v>39</v>
      </c>
      <c r="AB354" s="14" t="s">
        <v>39</v>
      </c>
      <c r="AC354" s="14" t="s">
        <v>39</v>
      </c>
      <c r="AD354" s="14" t="s">
        <v>39</v>
      </c>
      <c r="AE354" s="15" t="s">
        <v>39</v>
      </c>
      <c r="AF354" s="15" t="s">
        <v>39</v>
      </c>
      <c r="AG354" s="15" t="s">
        <v>39</v>
      </c>
      <c r="AH354" s="15" t="s">
        <v>39</v>
      </c>
      <c r="AI354" s="15" t="s">
        <v>39</v>
      </c>
      <c r="AJ354" s="16" t="s">
        <v>39</v>
      </c>
    </row>
    <row r="355" spans="1:36" ht="51" customHeight="1" x14ac:dyDescent="0.25">
      <c r="A355" s="7">
        <v>2020</v>
      </c>
      <c r="B355" s="8">
        <v>20472</v>
      </c>
      <c r="C355" s="9" t="s">
        <v>380</v>
      </c>
      <c r="D355" s="9" t="s">
        <v>67</v>
      </c>
      <c r="E355" s="9" t="s">
        <v>68</v>
      </c>
      <c r="F355" s="10">
        <v>803</v>
      </c>
      <c r="G355" s="10">
        <v>34</v>
      </c>
      <c r="H355" s="10">
        <v>8</v>
      </c>
      <c r="I355" s="10" t="s">
        <v>39</v>
      </c>
      <c r="J355" s="10">
        <v>845</v>
      </c>
      <c r="K355" s="11" t="s">
        <v>39</v>
      </c>
      <c r="L355" s="11" t="s">
        <v>39</v>
      </c>
      <c r="M355" s="11" t="s">
        <v>39</v>
      </c>
      <c r="N355" s="11" t="s">
        <v>39</v>
      </c>
      <c r="O355" s="11" t="s">
        <v>39</v>
      </c>
      <c r="P355" s="12">
        <v>2.8570000000000002</v>
      </c>
      <c r="Q355" s="12">
        <v>9.6999999999999993</v>
      </c>
      <c r="R355" s="12">
        <v>14.9</v>
      </c>
      <c r="S355" s="12" t="s">
        <v>39</v>
      </c>
      <c r="T355" s="12">
        <v>27.457000000000001</v>
      </c>
      <c r="U355" s="13">
        <v>2.8570000000000002</v>
      </c>
      <c r="V355" s="13">
        <v>5.5</v>
      </c>
      <c r="W355" s="13">
        <v>9</v>
      </c>
      <c r="X355" s="13" t="s">
        <v>39</v>
      </c>
      <c r="Y355" s="13">
        <v>17.356999999999999</v>
      </c>
      <c r="Z355" s="14">
        <v>158</v>
      </c>
      <c r="AA355" s="14">
        <v>120</v>
      </c>
      <c r="AB355" s="14" t="s">
        <v>39</v>
      </c>
      <c r="AC355" s="14" t="s">
        <v>39</v>
      </c>
      <c r="AD355" s="14">
        <v>278</v>
      </c>
      <c r="AE355" s="15">
        <v>73</v>
      </c>
      <c r="AF355" s="15">
        <v>100</v>
      </c>
      <c r="AG355" s="15" t="s">
        <v>39</v>
      </c>
      <c r="AH355" s="15" t="s">
        <v>39</v>
      </c>
      <c r="AI355" s="15">
        <v>173</v>
      </c>
      <c r="AJ355" s="16" t="s">
        <v>39</v>
      </c>
    </row>
    <row r="356" spans="1:36" ht="38.450000000000003" customHeight="1" x14ac:dyDescent="0.25">
      <c r="A356" s="7">
        <v>2020</v>
      </c>
      <c r="B356" s="8">
        <v>20477</v>
      </c>
      <c r="C356" s="9" t="s">
        <v>381</v>
      </c>
      <c r="D356" s="9" t="s">
        <v>101</v>
      </c>
      <c r="E356" s="9" t="s">
        <v>52</v>
      </c>
      <c r="F356" s="10">
        <v>623</v>
      </c>
      <c r="G356" s="10" t="s">
        <v>39</v>
      </c>
      <c r="H356" s="10" t="s">
        <v>39</v>
      </c>
      <c r="I356" s="10" t="s">
        <v>39</v>
      </c>
      <c r="J356" s="10">
        <v>623</v>
      </c>
      <c r="K356" s="11">
        <v>6.9189999999999996</v>
      </c>
      <c r="L356" s="11" t="s">
        <v>39</v>
      </c>
      <c r="M356" s="11" t="s">
        <v>39</v>
      </c>
      <c r="N356" s="11" t="s">
        <v>39</v>
      </c>
      <c r="O356" s="11">
        <v>6.9189999999999996</v>
      </c>
      <c r="P356" s="12">
        <v>0.96499999999999997</v>
      </c>
      <c r="Q356" s="12" t="s">
        <v>39</v>
      </c>
      <c r="R356" s="12" t="s">
        <v>39</v>
      </c>
      <c r="S356" s="12" t="s">
        <v>39</v>
      </c>
      <c r="T356" s="12">
        <v>0.96499999999999997</v>
      </c>
      <c r="U356" s="13">
        <v>0.77900000000000003</v>
      </c>
      <c r="V356" s="13" t="s">
        <v>39</v>
      </c>
      <c r="W356" s="13" t="s">
        <v>39</v>
      </c>
      <c r="X356" s="13" t="s">
        <v>39</v>
      </c>
      <c r="Y356" s="13">
        <v>0.77900000000000003</v>
      </c>
      <c r="Z356" s="14">
        <v>8.1999999999999993</v>
      </c>
      <c r="AA356" s="14" t="s">
        <v>39</v>
      </c>
      <c r="AB356" s="14" t="s">
        <v>39</v>
      </c>
      <c r="AC356" s="14" t="s">
        <v>39</v>
      </c>
      <c r="AD356" s="14">
        <v>8.1999999999999993</v>
      </c>
      <c r="AE356" s="15">
        <v>14.9</v>
      </c>
      <c r="AF356" s="15" t="s">
        <v>39</v>
      </c>
      <c r="AG356" s="15" t="s">
        <v>39</v>
      </c>
      <c r="AH356" s="15" t="s">
        <v>39</v>
      </c>
      <c r="AI356" s="15">
        <v>14.9</v>
      </c>
      <c r="AJ356" s="16" t="s">
        <v>39</v>
      </c>
    </row>
    <row r="357" spans="1:36" ht="38.450000000000003" customHeight="1" x14ac:dyDescent="0.25">
      <c r="A357" s="7">
        <v>2020</v>
      </c>
      <c r="B357" s="8">
        <v>20521</v>
      </c>
      <c r="C357" s="9" t="s">
        <v>382</v>
      </c>
      <c r="D357" s="9" t="s">
        <v>58</v>
      </c>
      <c r="E357" s="9" t="s">
        <v>52</v>
      </c>
      <c r="F357" s="10">
        <v>212</v>
      </c>
      <c r="G357" s="10">
        <v>0</v>
      </c>
      <c r="H357" s="10">
        <v>0</v>
      </c>
      <c r="I357" s="10">
        <v>0</v>
      </c>
      <c r="J357" s="10">
        <v>212</v>
      </c>
      <c r="K357" s="11">
        <v>6</v>
      </c>
      <c r="L357" s="11">
        <v>0</v>
      </c>
      <c r="M357" s="11">
        <v>0</v>
      </c>
      <c r="N357" s="11">
        <v>0</v>
      </c>
      <c r="O357" s="11">
        <v>6</v>
      </c>
      <c r="P357" s="12">
        <v>0.3</v>
      </c>
      <c r="Q357" s="12">
        <v>0</v>
      </c>
      <c r="R357" s="12">
        <v>0</v>
      </c>
      <c r="S357" s="12">
        <v>0</v>
      </c>
      <c r="T357" s="12">
        <v>0.3</v>
      </c>
      <c r="U357" s="13">
        <v>0.3</v>
      </c>
      <c r="V357" s="13">
        <v>0</v>
      </c>
      <c r="W357" s="13">
        <v>0</v>
      </c>
      <c r="X357" s="13">
        <v>0</v>
      </c>
      <c r="Y357" s="13">
        <v>0.3</v>
      </c>
      <c r="Z357" s="14">
        <v>12</v>
      </c>
      <c r="AA357" s="14">
        <v>0</v>
      </c>
      <c r="AB357" s="14">
        <v>0</v>
      </c>
      <c r="AC357" s="14">
        <v>0</v>
      </c>
      <c r="AD357" s="14">
        <v>12</v>
      </c>
      <c r="AE357" s="15">
        <v>25</v>
      </c>
      <c r="AF357" s="15">
        <v>0</v>
      </c>
      <c r="AG357" s="15">
        <v>0</v>
      </c>
      <c r="AH357" s="15">
        <v>0</v>
      </c>
      <c r="AI357" s="15">
        <v>25</v>
      </c>
      <c r="AJ357" s="16" t="s">
        <v>39</v>
      </c>
    </row>
    <row r="358" spans="1:36" ht="38.450000000000003" customHeight="1" x14ac:dyDescent="0.25">
      <c r="A358" s="7">
        <v>2020</v>
      </c>
      <c r="B358" s="8">
        <v>20603</v>
      </c>
      <c r="C358" s="9" t="s">
        <v>383</v>
      </c>
      <c r="D358" s="9" t="s">
        <v>179</v>
      </c>
      <c r="E358" s="9" t="s">
        <v>52</v>
      </c>
      <c r="F358" s="10">
        <v>787</v>
      </c>
      <c r="G358" s="10" t="s">
        <v>39</v>
      </c>
      <c r="H358" s="10" t="s">
        <v>39</v>
      </c>
      <c r="I358" s="10" t="s">
        <v>39</v>
      </c>
      <c r="J358" s="10">
        <v>787</v>
      </c>
      <c r="K358" s="11" t="s">
        <v>39</v>
      </c>
      <c r="L358" s="11" t="s">
        <v>39</v>
      </c>
      <c r="M358" s="11" t="s">
        <v>39</v>
      </c>
      <c r="N358" s="11" t="s">
        <v>39</v>
      </c>
      <c r="O358" s="11" t="s">
        <v>39</v>
      </c>
      <c r="P358" s="12">
        <v>1.18</v>
      </c>
      <c r="Q358" s="12" t="s">
        <v>39</v>
      </c>
      <c r="R358" s="12" t="s">
        <v>39</v>
      </c>
      <c r="S358" s="12" t="s">
        <v>39</v>
      </c>
      <c r="T358" s="12">
        <v>1.18</v>
      </c>
      <c r="U358" s="13">
        <v>0.25</v>
      </c>
      <c r="V358" s="13" t="s">
        <v>39</v>
      </c>
      <c r="W358" s="13" t="s">
        <v>39</v>
      </c>
      <c r="X358" s="13" t="s">
        <v>39</v>
      </c>
      <c r="Y358" s="13">
        <v>0.25</v>
      </c>
      <c r="Z358" s="14">
        <v>141.70599999999999</v>
      </c>
      <c r="AA358" s="14" t="s">
        <v>39</v>
      </c>
      <c r="AB358" s="14" t="s">
        <v>39</v>
      </c>
      <c r="AC358" s="14" t="s">
        <v>39</v>
      </c>
      <c r="AD358" s="14">
        <v>141.70599999999999</v>
      </c>
      <c r="AE358" s="15">
        <v>84.847999999999999</v>
      </c>
      <c r="AF358" s="15" t="s">
        <v>39</v>
      </c>
      <c r="AG358" s="15" t="s">
        <v>39</v>
      </c>
      <c r="AH358" s="15" t="s">
        <v>39</v>
      </c>
      <c r="AI358" s="15">
        <v>84.847999999999999</v>
      </c>
      <c r="AJ358" s="16" t="s">
        <v>39</v>
      </c>
    </row>
    <row r="359" spans="1:36" ht="38.450000000000003" customHeight="1" x14ac:dyDescent="0.25">
      <c r="A359" s="7">
        <v>2020</v>
      </c>
      <c r="B359" s="8">
        <v>20639</v>
      </c>
      <c r="C359" s="9" t="s">
        <v>384</v>
      </c>
      <c r="D359" s="9" t="s">
        <v>48</v>
      </c>
      <c r="E359" s="9" t="s">
        <v>49</v>
      </c>
      <c r="F359" s="10">
        <v>4907</v>
      </c>
      <c r="G359" s="10">
        <v>36</v>
      </c>
      <c r="H359" s="10">
        <v>1</v>
      </c>
      <c r="I359" s="10" t="s">
        <v>39</v>
      </c>
      <c r="J359" s="10">
        <v>4944</v>
      </c>
      <c r="K359" s="11">
        <v>4844.6000000000004</v>
      </c>
      <c r="L359" s="11">
        <v>32.253999999999998</v>
      </c>
      <c r="M359" s="11">
        <v>3.056</v>
      </c>
      <c r="N359" s="11" t="s">
        <v>39</v>
      </c>
      <c r="O359" s="11">
        <v>4879.91</v>
      </c>
      <c r="P359" s="12">
        <v>120.23</v>
      </c>
      <c r="Q359" s="12">
        <v>0.79900000000000004</v>
      </c>
      <c r="R359" s="12">
        <v>7.4999999999999997E-2</v>
      </c>
      <c r="S359" s="12" t="s">
        <v>39</v>
      </c>
      <c r="T359" s="12">
        <v>121.104</v>
      </c>
      <c r="U359" s="13">
        <v>20.105</v>
      </c>
      <c r="V359" s="13">
        <v>0.13300000000000001</v>
      </c>
      <c r="W359" s="13">
        <v>6.2E-2</v>
      </c>
      <c r="X359" s="13" t="s">
        <v>39</v>
      </c>
      <c r="Y359" s="13">
        <v>20.3</v>
      </c>
      <c r="Z359" s="14">
        <v>3675.652</v>
      </c>
      <c r="AA359" s="14">
        <v>303.33600000000001</v>
      </c>
      <c r="AB359" s="14">
        <v>146.95599999999999</v>
      </c>
      <c r="AC359" s="14" t="s">
        <v>39</v>
      </c>
      <c r="AD359" s="14">
        <v>4125.9440000000004</v>
      </c>
      <c r="AE359" s="15">
        <v>211.29499999999999</v>
      </c>
      <c r="AF359" s="15">
        <v>23.608000000000001</v>
      </c>
      <c r="AG359" s="15">
        <v>1.181</v>
      </c>
      <c r="AH359" s="15" t="s">
        <v>39</v>
      </c>
      <c r="AI359" s="15">
        <v>236.084</v>
      </c>
      <c r="AJ359" s="16" t="s">
        <v>39</v>
      </c>
    </row>
    <row r="360" spans="1:36" ht="38.450000000000003" customHeight="1" x14ac:dyDescent="0.25">
      <c r="A360" s="7">
        <v>2020</v>
      </c>
      <c r="B360" s="8">
        <v>20737</v>
      </c>
      <c r="C360" s="9" t="s">
        <v>385</v>
      </c>
      <c r="D360" s="9" t="s">
        <v>48</v>
      </c>
      <c r="E360" s="9" t="s">
        <v>49</v>
      </c>
      <c r="F360" s="10">
        <v>2122</v>
      </c>
      <c r="G360" s="10">
        <v>202</v>
      </c>
      <c r="H360" s="10">
        <v>0</v>
      </c>
      <c r="I360" s="10" t="s">
        <v>39</v>
      </c>
      <c r="J360" s="10">
        <v>2324</v>
      </c>
      <c r="K360" s="11">
        <v>2.91</v>
      </c>
      <c r="L360" s="11">
        <v>0.28000000000000003</v>
      </c>
      <c r="M360" s="11" t="s">
        <v>39</v>
      </c>
      <c r="N360" s="11" t="s">
        <v>39</v>
      </c>
      <c r="O360" s="11">
        <v>3.19</v>
      </c>
      <c r="P360" s="12">
        <v>3.2</v>
      </c>
      <c r="Q360" s="12">
        <v>0.3</v>
      </c>
      <c r="R360" s="12" t="s">
        <v>39</v>
      </c>
      <c r="S360" s="12" t="s">
        <v>39</v>
      </c>
      <c r="T360" s="12">
        <v>3.5</v>
      </c>
      <c r="U360" s="13">
        <v>2.91</v>
      </c>
      <c r="V360" s="13">
        <v>0.28000000000000003</v>
      </c>
      <c r="W360" s="13" t="s">
        <v>39</v>
      </c>
      <c r="X360" s="13" t="s">
        <v>39</v>
      </c>
      <c r="Y360" s="13">
        <v>3.19</v>
      </c>
      <c r="Z360" s="14">
        <v>5.5</v>
      </c>
      <c r="AA360" s="14">
        <v>0.5</v>
      </c>
      <c r="AB360" s="14" t="s">
        <v>39</v>
      </c>
      <c r="AC360" s="14" t="s">
        <v>39</v>
      </c>
      <c r="AD360" s="14">
        <v>6</v>
      </c>
      <c r="AE360" s="15">
        <v>35.6</v>
      </c>
      <c r="AF360" s="15">
        <v>3.4</v>
      </c>
      <c r="AG360" s="15" t="s">
        <v>39</v>
      </c>
      <c r="AH360" s="15" t="s">
        <v>39</v>
      </c>
      <c r="AI360" s="15">
        <v>39</v>
      </c>
      <c r="AJ360" s="16" t="s">
        <v>39</v>
      </c>
    </row>
    <row r="361" spans="1:36" ht="38.450000000000003" customHeight="1" x14ac:dyDescent="0.25">
      <c r="A361" s="7">
        <v>2020</v>
      </c>
      <c r="B361" s="8">
        <v>20841</v>
      </c>
      <c r="C361" s="9" t="s">
        <v>386</v>
      </c>
      <c r="D361" s="9" t="s">
        <v>37</v>
      </c>
      <c r="E361" s="9" t="s">
        <v>415</v>
      </c>
      <c r="F361" s="10">
        <v>3831</v>
      </c>
      <c r="G361" s="10" t="s">
        <v>39</v>
      </c>
      <c r="H361" s="10" t="s">
        <v>39</v>
      </c>
      <c r="I361" s="10" t="s">
        <v>39</v>
      </c>
      <c r="J361" s="10">
        <v>3831</v>
      </c>
      <c r="K361" s="11" t="s">
        <v>39</v>
      </c>
      <c r="L361" s="11" t="s">
        <v>39</v>
      </c>
      <c r="M361" s="11" t="s">
        <v>39</v>
      </c>
      <c r="N361" s="11" t="s">
        <v>39</v>
      </c>
      <c r="O361" s="11" t="s">
        <v>39</v>
      </c>
      <c r="P361" s="12">
        <v>4.6369999999999996</v>
      </c>
      <c r="Q361" s="12" t="s">
        <v>39</v>
      </c>
      <c r="R361" s="12" t="s">
        <v>39</v>
      </c>
      <c r="S361" s="12" t="s">
        <v>39</v>
      </c>
      <c r="T361" s="12">
        <v>4.6369999999999996</v>
      </c>
      <c r="U361" s="13">
        <v>4.6369999999999996</v>
      </c>
      <c r="V361" s="13" t="s">
        <v>39</v>
      </c>
      <c r="W361" s="13" t="s">
        <v>39</v>
      </c>
      <c r="X361" s="13" t="s">
        <v>39</v>
      </c>
      <c r="Y361" s="13">
        <v>4.6369999999999996</v>
      </c>
      <c r="Z361" s="14" t="s">
        <v>39</v>
      </c>
      <c r="AA361" s="14" t="s">
        <v>39</v>
      </c>
      <c r="AB361" s="14" t="s">
        <v>39</v>
      </c>
      <c r="AC361" s="14" t="s">
        <v>39</v>
      </c>
      <c r="AD361" s="14" t="s">
        <v>39</v>
      </c>
      <c r="AE361" s="15">
        <v>137</v>
      </c>
      <c r="AF361" s="15" t="s">
        <v>39</v>
      </c>
      <c r="AG361" s="15" t="s">
        <v>39</v>
      </c>
      <c r="AH361" s="15" t="s">
        <v>39</v>
      </c>
      <c r="AI361" s="15">
        <v>137</v>
      </c>
      <c r="AJ361" s="16" t="s">
        <v>39</v>
      </c>
    </row>
    <row r="362" spans="1:36" ht="51" customHeight="1" x14ac:dyDescent="0.25">
      <c r="A362" s="7">
        <v>2020</v>
      </c>
      <c r="B362" s="8">
        <v>20847</v>
      </c>
      <c r="C362" s="9" t="s">
        <v>387</v>
      </c>
      <c r="D362" s="9" t="s">
        <v>72</v>
      </c>
      <c r="E362" s="9" t="s">
        <v>49</v>
      </c>
      <c r="F362" s="10" t="s">
        <v>39</v>
      </c>
      <c r="G362" s="10">
        <v>29</v>
      </c>
      <c r="H362" s="10">
        <v>59</v>
      </c>
      <c r="I362" s="10" t="s">
        <v>39</v>
      </c>
      <c r="J362" s="10">
        <v>88</v>
      </c>
      <c r="K362" s="11" t="s">
        <v>39</v>
      </c>
      <c r="L362" s="11" t="s">
        <v>39</v>
      </c>
      <c r="M362" s="11" t="s">
        <v>39</v>
      </c>
      <c r="N362" s="11" t="s">
        <v>39</v>
      </c>
      <c r="O362" s="11" t="s">
        <v>39</v>
      </c>
      <c r="P362" s="12" t="s">
        <v>39</v>
      </c>
      <c r="Q362" s="12">
        <v>3.3</v>
      </c>
      <c r="R362" s="12">
        <v>129</v>
      </c>
      <c r="S362" s="12" t="s">
        <v>39</v>
      </c>
      <c r="T362" s="12">
        <v>132.30000000000001</v>
      </c>
      <c r="U362" s="13" t="s">
        <v>39</v>
      </c>
      <c r="V362" s="13" t="s">
        <v>39</v>
      </c>
      <c r="W362" s="13" t="s">
        <v>39</v>
      </c>
      <c r="X362" s="13" t="s">
        <v>39</v>
      </c>
      <c r="Y362" s="13" t="s">
        <v>39</v>
      </c>
      <c r="Z362" s="14" t="s">
        <v>39</v>
      </c>
      <c r="AA362" s="14" t="s">
        <v>39</v>
      </c>
      <c r="AB362" s="14" t="s">
        <v>39</v>
      </c>
      <c r="AC362" s="14" t="s">
        <v>39</v>
      </c>
      <c r="AD362" s="14" t="s">
        <v>39</v>
      </c>
      <c r="AE362" s="15" t="s">
        <v>39</v>
      </c>
      <c r="AF362" s="15" t="s">
        <v>39</v>
      </c>
      <c r="AG362" s="15" t="s">
        <v>39</v>
      </c>
      <c r="AH362" s="15" t="s">
        <v>39</v>
      </c>
      <c r="AI362" s="15" t="s">
        <v>39</v>
      </c>
      <c r="AJ362" s="16" t="s">
        <v>39</v>
      </c>
    </row>
    <row r="363" spans="1:36" ht="51" customHeight="1" x14ac:dyDescent="0.25">
      <c r="A363" s="7">
        <v>2020</v>
      </c>
      <c r="B363" s="8">
        <v>20856</v>
      </c>
      <c r="C363" s="9" t="s">
        <v>388</v>
      </c>
      <c r="D363" s="9" t="s">
        <v>72</v>
      </c>
      <c r="E363" s="9" t="s">
        <v>49</v>
      </c>
      <c r="F363" s="10" t="s">
        <v>39</v>
      </c>
      <c r="G363" s="10" t="s">
        <v>39</v>
      </c>
      <c r="H363" s="10">
        <v>125</v>
      </c>
      <c r="I363" s="10" t="s">
        <v>39</v>
      </c>
      <c r="J363" s="10">
        <v>125</v>
      </c>
      <c r="K363" s="11" t="s">
        <v>39</v>
      </c>
      <c r="L363" s="11" t="s">
        <v>39</v>
      </c>
      <c r="M363" s="11" t="s">
        <v>39</v>
      </c>
      <c r="N363" s="11" t="s">
        <v>39</v>
      </c>
      <c r="O363" s="11" t="s">
        <v>39</v>
      </c>
      <c r="P363" s="12" t="s">
        <v>39</v>
      </c>
      <c r="Q363" s="12" t="s">
        <v>39</v>
      </c>
      <c r="R363" s="12">
        <v>146.315</v>
      </c>
      <c r="S363" s="12" t="s">
        <v>39</v>
      </c>
      <c r="T363" s="12">
        <v>146.315</v>
      </c>
      <c r="U363" s="13" t="s">
        <v>39</v>
      </c>
      <c r="V363" s="13" t="s">
        <v>39</v>
      </c>
      <c r="W363" s="13" t="s">
        <v>39</v>
      </c>
      <c r="X363" s="13" t="s">
        <v>39</v>
      </c>
      <c r="Y363" s="13" t="s">
        <v>39</v>
      </c>
      <c r="Z363" s="14" t="s">
        <v>39</v>
      </c>
      <c r="AA363" s="14" t="s">
        <v>39</v>
      </c>
      <c r="AB363" s="14">
        <v>11545.832</v>
      </c>
      <c r="AC363" s="14" t="s">
        <v>39</v>
      </c>
      <c r="AD363" s="14">
        <v>11545.832</v>
      </c>
      <c r="AE363" s="15" t="s">
        <v>39</v>
      </c>
      <c r="AF363" s="15" t="s">
        <v>39</v>
      </c>
      <c r="AG363" s="15" t="s">
        <v>39</v>
      </c>
      <c r="AH363" s="15" t="s">
        <v>39</v>
      </c>
      <c r="AI363" s="15" t="s">
        <v>39</v>
      </c>
      <c r="AJ363" s="16" t="s">
        <v>39</v>
      </c>
    </row>
    <row r="364" spans="1:36" ht="26.1" customHeight="1" x14ac:dyDescent="0.25">
      <c r="A364" s="7">
        <v>2020</v>
      </c>
      <c r="B364" s="8">
        <v>20858</v>
      </c>
      <c r="C364" s="9" t="s">
        <v>416</v>
      </c>
      <c r="D364" s="9" t="s">
        <v>72</v>
      </c>
      <c r="E364" s="9" t="s">
        <v>49</v>
      </c>
      <c r="F364" s="10" t="s">
        <v>39</v>
      </c>
      <c r="G364" s="10" t="s">
        <v>39</v>
      </c>
      <c r="H364" s="10">
        <v>13</v>
      </c>
      <c r="I364" s="10" t="s">
        <v>39</v>
      </c>
      <c r="J364" s="10">
        <v>13</v>
      </c>
      <c r="K364" s="11" t="s">
        <v>39</v>
      </c>
      <c r="L364" s="11" t="s">
        <v>39</v>
      </c>
      <c r="M364" s="11" t="s">
        <v>39</v>
      </c>
      <c r="N364" s="11" t="s">
        <v>39</v>
      </c>
      <c r="O364" s="11" t="s">
        <v>39</v>
      </c>
      <c r="P364" s="12" t="s">
        <v>39</v>
      </c>
      <c r="Q364" s="12" t="s">
        <v>39</v>
      </c>
      <c r="R364" s="12">
        <v>51.014000000000003</v>
      </c>
      <c r="S364" s="12" t="s">
        <v>39</v>
      </c>
      <c r="T364" s="12">
        <v>51.014000000000003</v>
      </c>
      <c r="U364" s="13" t="s">
        <v>39</v>
      </c>
      <c r="V364" s="13" t="s">
        <v>39</v>
      </c>
      <c r="W364" s="13" t="s">
        <v>39</v>
      </c>
      <c r="X364" s="13" t="s">
        <v>39</v>
      </c>
      <c r="Y364" s="13" t="s">
        <v>39</v>
      </c>
      <c r="Z364" s="14" t="s">
        <v>39</v>
      </c>
      <c r="AA364" s="14" t="s">
        <v>39</v>
      </c>
      <c r="AB364" s="14">
        <v>2769.7550000000001</v>
      </c>
      <c r="AC364" s="14" t="s">
        <v>39</v>
      </c>
      <c r="AD364" s="14">
        <v>2769.7550000000001</v>
      </c>
      <c r="AE364" s="15" t="s">
        <v>39</v>
      </c>
      <c r="AF364" s="15" t="s">
        <v>39</v>
      </c>
      <c r="AG364" s="15" t="s">
        <v>39</v>
      </c>
      <c r="AH364" s="15" t="s">
        <v>39</v>
      </c>
      <c r="AI364" s="15" t="s">
        <v>39</v>
      </c>
      <c r="AJ364" s="16" t="s">
        <v>39</v>
      </c>
    </row>
    <row r="365" spans="1:36" ht="51" customHeight="1" x14ac:dyDescent="0.25">
      <c r="A365" s="7">
        <v>2020</v>
      </c>
      <c r="B365" s="8">
        <v>20860</v>
      </c>
      <c r="C365" s="9" t="s">
        <v>417</v>
      </c>
      <c r="D365" s="9" t="s">
        <v>72</v>
      </c>
      <c r="E365" s="9" t="s">
        <v>49</v>
      </c>
      <c r="F365" s="10" t="s">
        <v>39</v>
      </c>
      <c r="G365" s="10" t="s">
        <v>39</v>
      </c>
      <c r="H365" s="10" t="s">
        <v>39</v>
      </c>
      <c r="I365" s="10" t="s">
        <v>39</v>
      </c>
      <c r="J365" s="10" t="s">
        <v>39</v>
      </c>
      <c r="K365" s="11" t="s">
        <v>39</v>
      </c>
      <c r="L365" s="11" t="s">
        <v>39</v>
      </c>
      <c r="M365" s="11" t="s">
        <v>39</v>
      </c>
      <c r="N365" s="11" t="s">
        <v>39</v>
      </c>
      <c r="O365" s="11" t="s">
        <v>39</v>
      </c>
      <c r="P365" s="12" t="s">
        <v>39</v>
      </c>
      <c r="Q365" s="12" t="s">
        <v>39</v>
      </c>
      <c r="R365" s="12" t="s">
        <v>39</v>
      </c>
      <c r="S365" s="12" t="s">
        <v>39</v>
      </c>
      <c r="T365" s="12" t="s">
        <v>39</v>
      </c>
      <c r="U365" s="13" t="s">
        <v>39</v>
      </c>
      <c r="V365" s="13" t="s">
        <v>39</v>
      </c>
      <c r="W365" s="13" t="s">
        <v>39</v>
      </c>
      <c r="X365" s="13" t="s">
        <v>39</v>
      </c>
      <c r="Y365" s="13" t="s">
        <v>39</v>
      </c>
      <c r="Z365" s="14" t="s">
        <v>39</v>
      </c>
      <c r="AA365" s="14" t="s">
        <v>39</v>
      </c>
      <c r="AB365" s="14" t="s">
        <v>39</v>
      </c>
      <c r="AC365" s="14" t="s">
        <v>39</v>
      </c>
      <c r="AD365" s="14" t="s">
        <v>39</v>
      </c>
      <c r="AE365" s="15" t="s">
        <v>39</v>
      </c>
      <c r="AF365" s="15" t="s">
        <v>39</v>
      </c>
      <c r="AG365" s="15" t="s">
        <v>39</v>
      </c>
      <c r="AH365" s="15" t="s">
        <v>39</v>
      </c>
      <c r="AI365" s="15" t="s">
        <v>39</v>
      </c>
      <c r="AJ365" s="16" t="s">
        <v>39</v>
      </c>
    </row>
    <row r="366" spans="1:36" ht="63.6" customHeight="1" x14ac:dyDescent="0.25">
      <c r="A366" s="7">
        <v>2020</v>
      </c>
      <c r="B366" s="8">
        <v>20885</v>
      </c>
      <c r="C366" s="9" t="s">
        <v>418</v>
      </c>
      <c r="D366" s="9" t="s">
        <v>98</v>
      </c>
      <c r="E366" s="9" t="s">
        <v>103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6">
        <v>0</v>
      </c>
    </row>
    <row r="367" spans="1:36" ht="51" customHeight="1" x14ac:dyDescent="0.25">
      <c r="A367" s="7">
        <v>2020</v>
      </c>
      <c r="B367" s="8">
        <v>20963</v>
      </c>
      <c r="C367" s="9" t="s">
        <v>389</v>
      </c>
      <c r="D367" s="9" t="s">
        <v>63</v>
      </c>
      <c r="E367" s="9" t="s">
        <v>49</v>
      </c>
      <c r="F367" s="10" t="s">
        <v>39</v>
      </c>
      <c r="G367" s="10" t="s">
        <v>39</v>
      </c>
      <c r="H367" s="10">
        <v>3200</v>
      </c>
      <c r="I367" s="10" t="s">
        <v>39</v>
      </c>
      <c r="J367" s="10">
        <v>3200</v>
      </c>
      <c r="K367" s="11" t="s">
        <v>39</v>
      </c>
      <c r="L367" s="11" t="s">
        <v>39</v>
      </c>
      <c r="M367" s="11">
        <v>4000</v>
      </c>
      <c r="N367" s="11" t="s">
        <v>39</v>
      </c>
      <c r="O367" s="11">
        <v>4000</v>
      </c>
      <c r="P367" s="12" t="s">
        <v>39</v>
      </c>
      <c r="Q367" s="12" t="s">
        <v>39</v>
      </c>
      <c r="R367" s="12">
        <v>70</v>
      </c>
      <c r="S367" s="12" t="s">
        <v>39</v>
      </c>
      <c r="T367" s="12">
        <v>70</v>
      </c>
      <c r="U367" s="13" t="s">
        <v>39</v>
      </c>
      <c r="V367" s="13" t="s">
        <v>39</v>
      </c>
      <c r="W367" s="13">
        <v>63.5</v>
      </c>
      <c r="X367" s="13" t="s">
        <v>39</v>
      </c>
      <c r="Y367" s="13">
        <v>63.5</v>
      </c>
      <c r="Z367" s="14" t="s">
        <v>39</v>
      </c>
      <c r="AA367" s="14" t="s">
        <v>39</v>
      </c>
      <c r="AB367" s="14">
        <v>4000</v>
      </c>
      <c r="AC367" s="14" t="s">
        <v>39</v>
      </c>
      <c r="AD367" s="14">
        <v>4000</v>
      </c>
      <c r="AE367" s="15" t="s">
        <v>39</v>
      </c>
      <c r="AF367" s="15" t="s">
        <v>39</v>
      </c>
      <c r="AG367" s="15">
        <v>50</v>
      </c>
      <c r="AH367" s="15" t="s">
        <v>39</v>
      </c>
      <c r="AI367" s="15">
        <v>50</v>
      </c>
      <c r="AJ367" s="16" t="s">
        <v>39</v>
      </c>
    </row>
    <row r="368" spans="1:36" ht="38.450000000000003" customHeight="1" x14ac:dyDescent="0.25">
      <c r="A368" s="7">
        <v>2020</v>
      </c>
      <c r="B368" s="8">
        <v>21002</v>
      </c>
      <c r="C368" s="9" t="s">
        <v>390</v>
      </c>
      <c r="D368" s="9" t="s">
        <v>35</v>
      </c>
      <c r="E368" s="9" t="s">
        <v>80</v>
      </c>
      <c r="F368" s="10">
        <v>5945</v>
      </c>
      <c r="G368" s="10">
        <v>0</v>
      </c>
      <c r="H368" s="10">
        <v>0</v>
      </c>
      <c r="I368" s="10">
        <v>0</v>
      </c>
      <c r="J368" s="10">
        <v>5945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2">
        <v>25</v>
      </c>
      <c r="Q368" s="12">
        <v>0</v>
      </c>
      <c r="R368" s="12">
        <v>0</v>
      </c>
      <c r="S368" s="12">
        <v>0</v>
      </c>
      <c r="T368" s="12">
        <v>25</v>
      </c>
      <c r="U368" s="13">
        <v>6.2</v>
      </c>
      <c r="V368" s="13">
        <v>0</v>
      </c>
      <c r="W368" s="13">
        <v>0</v>
      </c>
      <c r="X368" s="13">
        <v>0</v>
      </c>
      <c r="Y368" s="13">
        <v>6.2</v>
      </c>
      <c r="Z368" s="14">
        <v>152</v>
      </c>
      <c r="AA368" s="14">
        <v>0</v>
      </c>
      <c r="AB368" s="14">
        <v>0</v>
      </c>
      <c r="AC368" s="14">
        <v>0</v>
      </c>
      <c r="AD368" s="14">
        <v>152</v>
      </c>
      <c r="AE368" s="15">
        <v>1614</v>
      </c>
      <c r="AF368" s="15">
        <v>0</v>
      </c>
      <c r="AG368" s="15">
        <v>0</v>
      </c>
      <c r="AH368" s="15">
        <v>0</v>
      </c>
      <c r="AI368" s="15">
        <v>1614</v>
      </c>
      <c r="AJ368" s="16" t="s">
        <v>39</v>
      </c>
    </row>
    <row r="369" spans="1:36" ht="38.450000000000003" customHeight="1" x14ac:dyDescent="0.25">
      <c r="A369" s="7">
        <v>2020</v>
      </c>
      <c r="B369" s="8">
        <v>21013</v>
      </c>
      <c r="C369" s="9" t="s">
        <v>391</v>
      </c>
      <c r="D369" s="9" t="s">
        <v>48</v>
      </c>
      <c r="E369" s="9" t="s">
        <v>49</v>
      </c>
      <c r="F369" s="10">
        <v>2331</v>
      </c>
      <c r="G369" s="10" t="s">
        <v>39</v>
      </c>
      <c r="H369" s="10" t="s">
        <v>39</v>
      </c>
      <c r="I369" s="10" t="s">
        <v>39</v>
      </c>
      <c r="J369" s="10">
        <v>2331</v>
      </c>
      <c r="K369" s="11" t="s">
        <v>39</v>
      </c>
      <c r="L369" s="11" t="s">
        <v>39</v>
      </c>
      <c r="M369" s="11" t="s">
        <v>39</v>
      </c>
      <c r="N369" s="11" t="s">
        <v>39</v>
      </c>
      <c r="O369" s="11" t="s">
        <v>39</v>
      </c>
      <c r="P369" s="12">
        <v>6.9930000000000003</v>
      </c>
      <c r="Q369" s="12" t="s">
        <v>39</v>
      </c>
      <c r="R369" s="12" t="s">
        <v>39</v>
      </c>
      <c r="S369" s="12" t="s">
        <v>39</v>
      </c>
      <c r="T369" s="12">
        <v>6.9930000000000003</v>
      </c>
      <c r="U369" s="13">
        <v>2.331</v>
      </c>
      <c r="V369" s="13" t="s">
        <v>39</v>
      </c>
      <c r="W369" s="13" t="s">
        <v>39</v>
      </c>
      <c r="X369" s="13" t="s">
        <v>39</v>
      </c>
      <c r="Y369" s="13">
        <v>2.331</v>
      </c>
      <c r="Z369" s="14" t="s">
        <v>39</v>
      </c>
      <c r="AA369" s="14" t="s">
        <v>39</v>
      </c>
      <c r="AB369" s="14" t="s">
        <v>39</v>
      </c>
      <c r="AC369" s="14" t="s">
        <v>39</v>
      </c>
      <c r="AD369" s="14" t="s">
        <v>39</v>
      </c>
      <c r="AE369" s="15">
        <v>6.9459999999999997</v>
      </c>
      <c r="AF369" s="15" t="s">
        <v>39</v>
      </c>
      <c r="AG369" s="15" t="s">
        <v>39</v>
      </c>
      <c r="AH369" s="15" t="s">
        <v>39</v>
      </c>
      <c r="AI369" s="15">
        <v>6.9459999999999997</v>
      </c>
      <c r="AJ369" s="16" t="s">
        <v>39</v>
      </c>
    </row>
    <row r="370" spans="1:36" ht="51" customHeight="1" x14ac:dyDescent="0.25">
      <c r="A370" s="7">
        <v>2020</v>
      </c>
      <c r="B370" s="8">
        <v>21111</v>
      </c>
      <c r="C370" s="9" t="s">
        <v>392</v>
      </c>
      <c r="D370" s="9" t="s">
        <v>89</v>
      </c>
      <c r="E370" s="9" t="s">
        <v>77</v>
      </c>
      <c r="F370" s="10">
        <v>227</v>
      </c>
      <c r="G370" s="10">
        <v>685</v>
      </c>
      <c r="H370" s="10">
        <v>18</v>
      </c>
      <c r="I370" s="10" t="s">
        <v>39</v>
      </c>
      <c r="J370" s="10">
        <v>930</v>
      </c>
      <c r="K370" s="11">
        <v>174.96</v>
      </c>
      <c r="L370" s="11">
        <v>115.812</v>
      </c>
      <c r="M370" s="11">
        <v>153.548</v>
      </c>
      <c r="N370" s="11" t="s">
        <v>39</v>
      </c>
      <c r="O370" s="11">
        <v>444.32</v>
      </c>
      <c r="P370" s="12">
        <v>4.9000000000000002E-2</v>
      </c>
      <c r="Q370" s="12">
        <v>6.2E-2</v>
      </c>
      <c r="R370" s="12">
        <v>0</v>
      </c>
      <c r="S370" s="12" t="s">
        <v>39</v>
      </c>
      <c r="T370" s="12">
        <v>0.111</v>
      </c>
      <c r="U370" s="13" t="s">
        <v>39</v>
      </c>
      <c r="V370" s="13" t="s">
        <v>39</v>
      </c>
      <c r="W370" s="13" t="s">
        <v>39</v>
      </c>
      <c r="X370" s="13" t="s">
        <v>39</v>
      </c>
      <c r="Y370" s="13" t="s">
        <v>39</v>
      </c>
      <c r="Z370" s="14">
        <v>34.963000000000001</v>
      </c>
      <c r="AA370" s="14">
        <v>21.795000000000002</v>
      </c>
      <c r="AB370" s="14">
        <v>13.42</v>
      </c>
      <c r="AC370" s="14" t="s">
        <v>39</v>
      </c>
      <c r="AD370" s="14">
        <v>70.177999999999997</v>
      </c>
      <c r="AE370" s="15" t="s">
        <v>39</v>
      </c>
      <c r="AF370" s="15" t="s">
        <v>39</v>
      </c>
      <c r="AG370" s="15" t="s">
        <v>39</v>
      </c>
      <c r="AH370" s="15" t="s">
        <v>39</v>
      </c>
      <c r="AI370" s="15" t="s">
        <v>39</v>
      </c>
      <c r="AJ370" s="16" t="s">
        <v>39</v>
      </c>
    </row>
    <row r="371" spans="1:36" ht="38.450000000000003" customHeight="1" x14ac:dyDescent="0.25">
      <c r="A371" s="7">
        <v>2020</v>
      </c>
      <c r="B371" s="8">
        <v>21244</v>
      </c>
      <c r="C371" s="9" t="s">
        <v>393</v>
      </c>
      <c r="D371" s="9" t="s">
        <v>57</v>
      </c>
      <c r="E371" s="9" t="s">
        <v>52</v>
      </c>
      <c r="F371" s="10">
        <v>1285</v>
      </c>
      <c r="G371" s="10" t="s">
        <v>39</v>
      </c>
      <c r="H371" s="10" t="s">
        <v>39</v>
      </c>
      <c r="I371" s="10" t="s">
        <v>39</v>
      </c>
      <c r="J371" s="10">
        <v>1285</v>
      </c>
      <c r="K371" s="11">
        <v>4.5359999999999996</v>
      </c>
      <c r="L371" s="11" t="s">
        <v>39</v>
      </c>
      <c r="M371" s="11" t="s">
        <v>39</v>
      </c>
      <c r="N371" s="11" t="s">
        <v>39</v>
      </c>
      <c r="O371" s="11">
        <v>4.5359999999999996</v>
      </c>
      <c r="P371" s="12">
        <v>4.5369999999999999</v>
      </c>
      <c r="Q371" s="12" t="s">
        <v>39</v>
      </c>
      <c r="R371" s="12" t="s">
        <v>39</v>
      </c>
      <c r="S371" s="12" t="s">
        <v>39</v>
      </c>
      <c r="T371" s="12">
        <v>4.5369999999999999</v>
      </c>
      <c r="U371" s="13">
        <v>4.5359999999999996</v>
      </c>
      <c r="V371" s="13" t="s">
        <v>39</v>
      </c>
      <c r="W371" s="13" t="s">
        <v>39</v>
      </c>
      <c r="X371" s="13" t="s">
        <v>39</v>
      </c>
      <c r="Y371" s="13">
        <v>4.5359999999999996</v>
      </c>
      <c r="Z371" s="14">
        <v>0</v>
      </c>
      <c r="AA371" s="14" t="s">
        <v>39</v>
      </c>
      <c r="AB371" s="14" t="s">
        <v>39</v>
      </c>
      <c r="AC371" s="14" t="s">
        <v>39</v>
      </c>
      <c r="AD371" s="14">
        <v>0</v>
      </c>
      <c r="AE371" s="15">
        <v>13298</v>
      </c>
      <c r="AF371" s="15" t="s">
        <v>39</v>
      </c>
      <c r="AG371" s="15" t="s">
        <v>39</v>
      </c>
      <c r="AH371" s="15" t="s">
        <v>39</v>
      </c>
      <c r="AI371" s="15">
        <v>13298</v>
      </c>
      <c r="AJ371" s="16" t="s">
        <v>39</v>
      </c>
    </row>
    <row r="372" spans="1:36" ht="51" customHeight="1" x14ac:dyDescent="0.25">
      <c r="A372" s="7">
        <v>2020</v>
      </c>
      <c r="B372" s="8">
        <v>21554</v>
      </c>
      <c r="C372" s="9" t="s">
        <v>394</v>
      </c>
      <c r="D372" s="9" t="s">
        <v>98</v>
      </c>
      <c r="E372" s="9" t="s">
        <v>103</v>
      </c>
      <c r="F372" s="10" t="s">
        <v>39</v>
      </c>
      <c r="G372" s="10" t="s">
        <v>39</v>
      </c>
      <c r="H372" s="10" t="s">
        <v>39</v>
      </c>
      <c r="I372" s="10" t="s">
        <v>39</v>
      </c>
      <c r="J372" s="10" t="s">
        <v>39</v>
      </c>
      <c r="K372" s="11" t="s">
        <v>39</v>
      </c>
      <c r="L372" s="11" t="s">
        <v>39</v>
      </c>
      <c r="M372" s="11" t="s">
        <v>39</v>
      </c>
      <c r="N372" s="11" t="s">
        <v>39</v>
      </c>
      <c r="O372" s="11" t="s">
        <v>39</v>
      </c>
      <c r="P372" s="12" t="s">
        <v>39</v>
      </c>
      <c r="Q372" s="12" t="s">
        <v>39</v>
      </c>
      <c r="R372" s="12" t="s">
        <v>39</v>
      </c>
      <c r="S372" s="12" t="s">
        <v>39</v>
      </c>
      <c r="T372" s="12" t="s">
        <v>39</v>
      </c>
      <c r="U372" s="13" t="s">
        <v>39</v>
      </c>
      <c r="V372" s="13" t="s">
        <v>39</v>
      </c>
      <c r="W372" s="13" t="s">
        <v>39</v>
      </c>
      <c r="X372" s="13" t="s">
        <v>39</v>
      </c>
      <c r="Y372" s="13" t="s">
        <v>39</v>
      </c>
      <c r="Z372" s="14" t="s">
        <v>39</v>
      </c>
      <c r="AA372" s="14" t="s">
        <v>39</v>
      </c>
      <c r="AB372" s="14" t="s">
        <v>39</v>
      </c>
      <c r="AC372" s="14" t="s">
        <v>39</v>
      </c>
      <c r="AD372" s="14" t="s">
        <v>39</v>
      </c>
      <c r="AE372" s="15" t="s">
        <v>39</v>
      </c>
      <c r="AF372" s="15" t="s">
        <v>39</v>
      </c>
      <c r="AG372" s="15" t="s">
        <v>39</v>
      </c>
      <c r="AH372" s="15" t="s">
        <v>39</v>
      </c>
      <c r="AI372" s="15" t="s">
        <v>39</v>
      </c>
      <c r="AJ372" s="16" t="s">
        <v>39</v>
      </c>
    </row>
    <row r="373" spans="1:36" ht="51" customHeight="1" x14ac:dyDescent="0.25">
      <c r="A373" s="7">
        <v>2020</v>
      </c>
      <c r="B373" s="8">
        <v>21632</v>
      </c>
      <c r="C373" s="9" t="s">
        <v>395</v>
      </c>
      <c r="D373" s="9" t="s">
        <v>79</v>
      </c>
      <c r="E373" s="9" t="s">
        <v>80</v>
      </c>
      <c r="F373" s="10">
        <v>11193</v>
      </c>
      <c r="G373" s="10">
        <v>156</v>
      </c>
      <c r="H373" s="10">
        <v>5</v>
      </c>
      <c r="I373" s="10" t="s">
        <v>39</v>
      </c>
      <c r="J373" s="10">
        <v>11354</v>
      </c>
      <c r="K373" s="11">
        <v>330</v>
      </c>
      <c r="L373" s="11">
        <v>267</v>
      </c>
      <c r="M373" s="11">
        <v>149</v>
      </c>
      <c r="N373" s="11" t="s">
        <v>39</v>
      </c>
      <c r="O373" s="11">
        <v>746</v>
      </c>
      <c r="P373" s="12">
        <v>10</v>
      </c>
      <c r="Q373" s="12">
        <v>8</v>
      </c>
      <c r="R373" s="12">
        <v>4</v>
      </c>
      <c r="S373" s="12" t="s">
        <v>39</v>
      </c>
      <c r="T373" s="12">
        <v>22</v>
      </c>
      <c r="U373" s="13">
        <v>10</v>
      </c>
      <c r="V373" s="13">
        <v>7</v>
      </c>
      <c r="W373" s="13">
        <v>3</v>
      </c>
      <c r="X373" s="13" t="s">
        <v>39</v>
      </c>
      <c r="Y373" s="13">
        <v>20</v>
      </c>
      <c r="Z373" s="14">
        <v>33.200000000000003</v>
      </c>
      <c r="AA373" s="14" t="s">
        <v>39</v>
      </c>
      <c r="AB373" s="14" t="s">
        <v>39</v>
      </c>
      <c r="AC373" s="14" t="s">
        <v>39</v>
      </c>
      <c r="AD373" s="14">
        <v>33.200000000000003</v>
      </c>
      <c r="AE373" s="15">
        <v>86.45</v>
      </c>
      <c r="AF373" s="15" t="s">
        <v>39</v>
      </c>
      <c r="AG373" s="15" t="s">
        <v>39</v>
      </c>
      <c r="AH373" s="15" t="s">
        <v>39</v>
      </c>
      <c r="AI373" s="15">
        <v>86.45</v>
      </c>
      <c r="AJ373" s="16" t="s">
        <v>39</v>
      </c>
    </row>
    <row r="374" spans="1:36" ht="38.450000000000003" customHeight="1" x14ac:dyDescent="0.25">
      <c r="A374" s="7">
        <v>2020</v>
      </c>
      <c r="B374" s="8">
        <v>22053</v>
      </c>
      <c r="C374" s="9" t="s">
        <v>396</v>
      </c>
      <c r="D374" s="9" t="s">
        <v>142</v>
      </c>
      <c r="E374" s="9" t="s">
        <v>52</v>
      </c>
      <c r="F374" s="10">
        <v>0</v>
      </c>
      <c r="G374" s="10">
        <v>0</v>
      </c>
      <c r="H374" s="10">
        <v>4</v>
      </c>
      <c r="I374" s="10">
        <v>0</v>
      </c>
      <c r="J374" s="10">
        <v>4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2">
        <v>0</v>
      </c>
      <c r="Q374" s="12">
        <v>0</v>
      </c>
      <c r="R374" s="12">
        <v>9</v>
      </c>
      <c r="S374" s="12">
        <v>0</v>
      </c>
      <c r="T374" s="12">
        <v>9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6">
        <v>0</v>
      </c>
    </row>
    <row r="375" spans="1:36" ht="51" customHeight="1" x14ac:dyDescent="0.25">
      <c r="A375" s="7">
        <v>2020</v>
      </c>
      <c r="B375" s="8">
        <v>22500</v>
      </c>
      <c r="C375" s="9" t="s">
        <v>397</v>
      </c>
      <c r="D375" s="9" t="s">
        <v>207</v>
      </c>
      <c r="E375" s="9" t="s">
        <v>77</v>
      </c>
      <c r="F375" s="10">
        <v>24972</v>
      </c>
      <c r="G375" s="10">
        <v>786</v>
      </c>
      <c r="H375" s="10">
        <v>2</v>
      </c>
      <c r="I375" s="10" t="s">
        <v>39</v>
      </c>
      <c r="J375" s="10">
        <v>25760</v>
      </c>
      <c r="K375" s="11">
        <v>0</v>
      </c>
      <c r="L375" s="11">
        <v>0</v>
      </c>
      <c r="M375" s="11">
        <v>0</v>
      </c>
      <c r="N375" s="11" t="s">
        <v>39</v>
      </c>
      <c r="O375" s="11">
        <v>0</v>
      </c>
      <c r="P375" s="12">
        <v>12.486000000000001</v>
      </c>
      <c r="Q375" s="12">
        <v>2.54</v>
      </c>
      <c r="R375" s="12">
        <v>17.106999999999999</v>
      </c>
      <c r="S375" s="12" t="s">
        <v>39</v>
      </c>
      <c r="T375" s="12">
        <v>32.133000000000003</v>
      </c>
      <c r="U375" s="13">
        <v>0</v>
      </c>
      <c r="V375" s="13">
        <v>0</v>
      </c>
      <c r="W375" s="13">
        <v>0</v>
      </c>
      <c r="X375" s="13" t="s">
        <v>39</v>
      </c>
      <c r="Y375" s="13">
        <v>0</v>
      </c>
      <c r="Z375" s="14">
        <v>0</v>
      </c>
      <c r="AA375" s="14">
        <v>0</v>
      </c>
      <c r="AB375" s="14">
        <v>0</v>
      </c>
      <c r="AC375" s="14" t="s">
        <v>39</v>
      </c>
      <c r="AD375" s="14">
        <v>0</v>
      </c>
      <c r="AE375" s="15">
        <v>199.15</v>
      </c>
      <c r="AF375" s="15">
        <v>6.16</v>
      </c>
      <c r="AG375" s="15">
        <v>0</v>
      </c>
      <c r="AH375" s="15" t="s">
        <v>39</v>
      </c>
      <c r="AI375" s="15">
        <v>205.31</v>
      </c>
      <c r="AJ375" s="16">
        <v>0</v>
      </c>
    </row>
    <row r="376" spans="1:36" ht="51" customHeight="1" x14ac:dyDescent="0.25">
      <c r="A376" s="7">
        <v>2020</v>
      </c>
      <c r="B376" s="8">
        <v>24211</v>
      </c>
      <c r="C376" s="9" t="s">
        <v>398</v>
      </c>
      <c r="D376" s="9" t="s">
        <v>60</v>
      </c>
      <c r="E376" s="9" t="s">
        <v>371</v>
      </c>
      <c r="F376" s="10" t="s">
        <v>39</v>
      </c>
      <c r="G376" s="10">
        <v>162</v>
      </c>
      <c r="H376" s="10" t="s">
        <v>39</v>
      </c>
      <c r="I376" s="10" t="s">
        <v>39</v>
      </c>
      <c r="J376" s="10">
        <v>162</v>
      </c>
      <c r="K376" s="11" t="s">
        <v>39</v>
      </c>
      <c r="L376" s="11">
        <v>16331.63</v>
      </c>
      <c r="M376" s="11" t="s">
        <v>39</v>
      </c>
      <c r="N376" s="11" t="s">
        <v>39</v>
      </c>
      <c r="O376" s="11">
        <v>16331.63</v>
      </c>
      <c r="P376" s="12" t="s">
        <v>39</v>
      </c>
      <c r="Q376" s="12">
        <v>40.950000000000003</v>
      </c>
      <c r="R376" s="12" t="s">
        <v>39</v>
      </c>
      <c r="S376" s="12" t="s">
        <v>39</v>
      </c>
      <c r="T376" s="12">
        <v>40.950000000000003</v>
      </c>
      <c r="U376" s="13" t="s">
        <v>39</v>
      </c>
      <c r="V376" s="13">
        <v>40.950000000000003</v>
      </c>
      <c r="W376" s="13" t="s">
        <v>39</v>
      </c>
      <c r="X376" s="13" t="s">
        <v>39</v>
      </c>
      <c r="Y376" s="13">
        <v>40.950000000000003</v>
      </c>
      <c r="Z376" s="14" t="s">
        <v>39</v>
      </c>
      <c r="AA376" s="14">
        <v>157</v>
      </c>
      <c r="AB376" s="14" t="s">
        <v>39</v>
      </c>
      <c r="AC376" s="14" t="s">
        <v>39</v>
      </c>
      <c r="AD376" s="14">
        <v>157</v>
      </c>
      <c r="AE376" s="15" t="s">
        <v>39</v>
      </c>
      <c r="AF376" s="15">
        <v>20</v>
      </c>
      <c r="AG376" s="15" t="s">
        <v>39</v>
      </c>
      <c r="AH376" s="15" t="s">
        <v>39</v>
      </c>
      <c r="AI376" s="15">
        <v>20</v>
      </c>
      <c r="AJ376" s="16" t="s">
        <v>39</v>
      </c>
    </row>
    <row r="377" spans="1:36" ht="51" customHeight="1" x14ac:dyDescent="0.25">
      <c r="A377" s="7">
        <v>2020</v>
      </c>
      <c r="B377" s="8">
        <v>24949</v>
      </c>
      <c r="C377" s="9" t="s">
        <v>399</v>
      </c>
      <c r="D377" s="9" t="s">
        <v>84</v>
      </c>
      <c r="E377" s="9" t="s">
        <v>49</v>
      </c>
      <c r="F377" s="10">
        <v>8710</v>
      </c>
      <c r="G377" s="10">
        <v>411</v>
      </c>
      <c r="H377" s="10">
        <v>539</v>
      </c>
      <c r="I377" s="10" t="s">
        <v>39</v>
      </c>
      <c r="J377" s="10">
        <v>9660</v>
      </c>
      <c r="K377" s="11">
        <v>757</v>
      </c>
      <c r="L377" s="11">
        <v>714</v>
      </c>
      <c r="M377" s="11">
        <v>315</v>
      </c>
      <c r="N377" s="11" t="s">
        <v>39</v>
      </c>
      <c r="O377" s="11">
        <v>1786</v>
      </c>
      <c r="P377" s="12">
        <v>280.3</v>
      </c>
      <c r="Q377" s="12">
        <v>126.1</v>
      </c>
      <c r="R377" s="12">
        <v>55.7</v>
      </c>
      <c r="S377" s="12" t="s">
        <v>39</v>
      </c>
      <c r="T377" s="12">
        <v>462.1</v>
      </c>
      <c r="U377" s="13">
        <v>75.7</v>
      </c>
      <c r="V377" s="13">
        <v>34</v>
      </c>
      <c r="W377" s="13">
        <v>15</v>
      </c>
      <c r="X377" s="13" t="s">
        <v>39</v>
      </c>
      <c r="Y377" s="13">
        <v>124.7</v>
      </c>
      <c r="Z377" s="14">
        <v>52</v>
      </c>
      <c r="AA377" s="14">
        <v>0</v>
      </c>
      <c r="AB377" s="14">
        <v>0</v>
      </c>
      <c r="AC377" s="14" t="s">
        <v>39</v>
      </c>
      <c r="AD377" s="14">
        <v>52</v>
      </c>
      <c r="AE377" s="15">
        <v>563.20000000000005</v>
      </c>
      <c r="AF377" s="15">
        <v>26.2</v>
      </c>
      <c r="AG377" s="15">
        <v>35</v>
      </c>
      <c r="AH377" s="15" t="s">
        <v>39</v>
      </c>
      <c r="AI377" s="15">
        <v>624.4</v>
      </c>
      <c r="AJ377" s="16">
        <v>40</v>
      </c>
    </row>
    <row r="378" spans="1:36" ht="51" customHeight="1" x14ac:dyDescent="0.25">
      <c r="A378" s="7">
        <v>2020</v>
      </c>
      <c r="B378" s="8">
        <v>25295</v>
      </c>
      <c r="C378" s="9" t="s">
        <v>419</v>
      </c>
      <c r="D378" s="9" t="s">
        <v>179</v>
      </c>
      <c r="E378" s="9" t="s">
        <v>49</v>
      </c>
      <c r="F378" s="10" t="s">
        <v>39</v>
      </c>
      <c r="G378" s="10" t="s">
        <v>39</v>
      </c>
      <c r="H378" s="10" t="s">
        <v>39</v>
      </c>
      <c r="I378" s="10" t="s">
        <v>39</v>
      </c>
      <c r="J378" s="10" t="s">
        <v>39</v>
      </c>
      <c r="K378" s="11" t="s">
        <v>39</v>
      </c>
      <c r="L378" s="11" t="s">
        <v>39</v>
      </c>
      <c r="M378" s="11" t="s">
        <v>39</v>
      </c>
      <c r="N378" s="11" t="s">
        <v>39</v>
      </c>
      <c r="O378" s="11" t="s">
        <v>39</v>
      </c>
      <c r="P378" s="12" t="s">
        <v>39</v>
      </c>
      <c r="Q378" s="12" t="s">
        <v>39</v>
      </c>
      <c r="R378" s="12" t="s">
        <v>39</v>
      </c>
      <c r="S378" s="12" t="s">
        <v>39</v>
      </c>
      <c r="T378" s="12" t="s">
        <v>39</v>
      </c>
      <c r="U378" s="13" t="s">
        <v>39</v>
      </c>
      <c r="V378" s="13" t="s">
        <v>39</v>
      </c>
      <c r="W378" s="13" t="s">
        <v>39</v>
      </c>
      <c r="X378" s="13" t="s">
        <v>39</v>
      </c>
      <c r="Y378" s="13" t="s">
        <v>39</v>
      </c>
      <c r="Z378" s="14" t="s">
        <v>39</v>
      </c>
      <c r="AA378" s="14" t="s">
        <v>39</v>
      </c>
      <c r="AB378" s="14" t="s">
        <v>39</v>
      </c>
      <c r="AC378" s="14" t="s">
        <v>39</v>
      </c>
      <c r="AD378" s="14" t="s">
        <v>39</v>
      </c>
      <c r="AE378" s="15" t="s">
        <v>39</v>
      </c>
      <c r="AF378" s="15" t="s">
        <v>39</v>
      </c>
      <c r="AG378" s="15" t="s">
        <v>39</v>
      </c>
      <c r="AH378" s="15" t="s">
        <v>39</v>
      </c>
      <c r="AI378" s="15" t="s">
        <v>39</v>
      </c>
      <c r="AJ378" s="16" t="s">
        <v>39</v>
      </c>
    </row>
    <row r="379" spans="1:36" ht="51" customHeight="1" x14ac:dyDescent="0.25">
      <c r="A379" s="7">
        <v>2020</v>
      </c>
      <c r="B379" s="8">
        <v>30518</v>
      </c>
      <c r="C379" s="9" t="s">
        <v>420</v>
      </c>
      <c r="D379" s="9" t="s">
        <v>60</v>
      </c>
      <c r="E379" s="9" t="s">
        <v>348</v>
      </c>
      <c r="F379" s="10" t="s">
        <v>39</v>
      </c>
      <c r="G379" s="10" t="s">
        <v>39</v>
      </c>
      <c r="H379" s="10" t="s">
        <v>39</v>
      </c>
      <c r="I379" s="10" t="s">
        <v>39</v>
      </c>
      <c r="J379" s="10" t="s">
        <v>39</v>
      </c>
      <c r="K379" s="11" t="s">
        <v>39</v>
      </c>
      <c r="L379" s="11" t="s">
        <v>39</v>
      </c>
      <c r="M379" s="11" t="s">
        <v>39</v>
      </c>
      <c r="N379" s="11" t="s">
        <v>39</v>
      </c>
      <c r="O379" s="11" t="s">
        <v>39</v>
      </c>
      <c r="P379" s="12" t="s">
        <v>39</v>
      </c>
      <c r="Q379" s="12" t="s">
        <v>39</v>
      </c>
      <c r="R379" s="12" t="s">
        <v>39</v>
      </c>
      <c r="S379" s="12" t="s">
        <v>39</v>
      </c>
      <c r="T379" s="12" t="s">
        <v>39</v>
      </c>
      <c r="U379" s="13" t="s">
        <v>39</v>
      </c>
      <c r="V379" s="13" t="s">
        <v>39</v>
      </c>
      <c r="W379" s="13" t="s">
        <v>39</v>
      </c>
      <c r="X379" s="13" t="s">
        <v>39</v>
      </c>
      <c r="Y379" s="13" t="s">
        <v>39</v>
      </c>
      <c r="Z379" s="14" t="s">
        <v>39</v>
      </c>
      <c r="AA379" s="14" t="s">
        <v>39</v>
      </c>
      <c r="AB379" s="14" t="s">
        <v>39</v>
      </c>
      <c r="AC379" s="14" t="s">
        <v>39</v>
      </c>
      <c r="AD379" s="14" t="s">
        <v>39</v>
      </c>
      <c r="AE379" s="15" t="s">
        <v>39</v>
      </c>
      <c r="AF379" s="15" t="s">
        <v>39</v>
      </c>
      <c r="AG379" s="15" t="s">
        <v>39</v>
      </c>
      <c r="AH379" s="15" t="s">
        <v>39</v>
      </c>
      <c r="AI379" s="15" t="s">
        <v>39</v>
      </c>
      <c r="AJ379" s="16" t="s">
        <v>39</v>
      </c>
    </row>
    <row r="380" spans="1:36" ht="63.6" customHeight="1" x14ac:dyDescent="0.25">
      <c r="A380" s="7">
        <v>2020</v>
      </c>
      <c r="B380" s="8">
        <v>40051</v>
      </c>
      <c r="C380" s="9" t="s">
        <v>400</v>
      </c>
      <c r="D380" s="9" t="s">
        <v>67</v>
      </c>
      <c r="E380" s="9" t="s">
        <v>68</v>
      </c>
      <c r="F380" s="10" t="s">
        <v>39</v>
      </c>
      <c r="G380" s="10">
        <v>44</v>
      </c>
      <c r="H380" s="10" t="s">
        <v>39</v>
      </c>
      <c r="I380" s="10" t="s">
        <v>39</v>
      </c>
      <c r="J380" s="10">
        <v>44</v>
      </c>
      <c r="K380" s="11" t="s">
        <v>39</v>
      </c>
      <c r="L380" s="11">
        <v>5.0039999999999996</v>
      </c>
      <c r="M380" s="11" t="s">
        <v>39</v>
      </c>
      <c r="N380" s="11" t="s">
        <v>39</v>
      </c>
      <c r="O380" s="11">
        <v>5.0039999999999996</v>
      </c>
      <c r="P380" s="12" t="s">
        <v>39</v>
      </c>
      <c r="Q380" s="12">
        <v>6.9660000000000002</v>
      </c>
      <c r="R380" s="12" t="s">
        <v>39</v>
      </c>
      <c r="S380" s="12" t="s">
        <v>39</v>
      </c>
      <c r="T380" s="12">
        <v>6.9660000000000002</v>
      </c>
      <c r="U380" s="13" t="s">
        <v>39</v>
      </c>
      <c r="V380" s="13">
        <v>5.0039999999999996</v>
      </c>
      <c r="W380" s="13" t="s">
        <v>39</v>
      </c>
      <c r="X380" s="13" t="s">
        <v>39</v>
      </c>
      <c r="Y380" s="13">
        <v>5.0039999999999996</v>
      </c>
      <c r="Z380" s="14" t="s">
        <v>39</v>
      </c>
      <c r="AA380" s="14">
        <v>191.05699999999999</v>
      </c>
      <c r="AB380" s="14" t="s">
        <v>39</v>
      </c>
      <c r="AC380" s="14" t="s">
        <v>39</v>
      </c>
      <c r="AD380" s="14">
        <v>191.05699999999999</v>
      </c>
      <c r="AE380" s="15" t="s">
        <v>39</v>
      </c>
      <c r="AF380" s="15">
        <v>17.937000000000001</v>
      </c>
      <c r="AG380" s="15" t="s">
        <v>39</v>
      </c>
      <c r="AH380" s="15" t="s">
        <v>39</v>
      </c>
      <c r="AI380" s="15">
        <v>17.937000000000001</v>
      </c>
      <c r="AJ380" s="16" t="s">
        <v>39</v>
      </c>
    </row>
    <row r="381" spans="1:36" ht="51" customHeight="1" x14ac:dyDescent="0.25">
      <c r="A381" s="7">
        <v>2020</v>
      </c>
      <c r="B381" s="8">
        <v>40165</v>
      </c>
      <c r="C381" s="9" t="s">
        <v>401</v>
      </c>
      <c r="D381" s="9" t="s">
        <v>286</v>
      </c>
      <c r="E381" s="9" t="s">
        <v>284</v>
      </c>
      <c r="F381" s="10" t="s">
        <v>39</v>
      </c>
      <c r="G381" s="10">
        <v>124</v>
      </c>
      <c r="H381" s="10" t="s">
        <v>39</v>
      </c>
      <c r="I381" s="10" t="s">
        <v>39</v>
      </c>
      <c r="J381" s="10">
        <v>124</v>
      </c>
      <c r="K381" s="11" t="s">
        <v>39</v>
      </c>
      <c r="L381" s="11">
        <v>261</v>
      </c>
      <c r="M381" s="11" t="s">
        <v>39</v>
      </c>
      <c r="N381" s="11" t="s">
        <v>39</v>
      </c>
      <c r="O381" s="11">
        <v>261</v>
      </c>
      <c r="P381" s="12" t="s">
        <v>39</v>
      </c>
      <c r="Q381" s="12">
        <v>11.6</v>
      </c>
      <c r="R381" s="12" t="s">
        <v>39</v>
      </c>
      <c r="S381" s="12" t="s">
        <v>39</v>
      </c>
      <c r="T381" s="12">
        <v>11.6</v>
      </c>
      <c r="U381" s="13" t="s">
        <v>39</v>
      </c>
      <c r="V381" s="13">
        <v>9.6</v>
      </c>
      <c r="W381" s="13" t="s">
        <v>39</v>
      </c>
      <c r="X381" s="13" t="s">
        <v>39</v>
      </c>
      <c r="Y381" s="13">
        <v>9.6</v>
      </c>
      <c r="Z381" s="14" t="s">
        <v>39</v>
      </c>
      <c r="AA381" s="14">
        <v>358</v>
      </c>
      <c r="AB381" s="14" t="s">
        <v>39</v>
      </c>
      <c r="AC381" s="14" t="s">
        <v>39</v>
      </c>
      <c r="AD381" s="14">
        <v>358</v>
      </c>
      <c r="AE381" s="15" t="s">
        <v>39</v>
      </c>
      <c r="AF381" s="15">
        <v>34</v>
      </c>
      <c r="AG381" s="15" t="s">
        <v>39</v>
      </c>
      <c r="AH381" s="15" t="s">
        <v>39</v>
      </c>
      <c r="AI381" s="15">
        <v>34</v>
      </c>
      <c r="AJ381" s="16" t="s">
        <v>39</v>
      </c>
    </row>
    <row r="382" spans="1:36" ht="51" customHeight="1" x14ac:dyDescent="0.25">
      <c r="A382" s="7">
        <v>2020</v>
      </c>
      <c r="B382" s="8">
        <v>40211</v>
      </c>
      <c r="C382" s="9" t="s">
        <v>402</v>
      </c>
      <c r="D382" s="9" t="s">
        <v>105</v>
      </c>
      <c r="E382" s="9" t="s">
        <v>49</v>
      </c>
      <c r="F382" s="10">
        <v>4496</v>
      </c>
      <c r="G382" s="10">
        <v>3</v>
      </c>
      <c r="H382" s="10" t="s">
        <v>39</v>
      </c>
      <c r="I382" s="10" t="s">
        <v>39</v>
      </c>
      <c r="J382" s="10">
        <v>4499</v>
      </c>
      <c r="K382" s="11" t="s">
        <v>39</v>
      </c>
      <c r="L382" s="11" t="s">
        <v>39</v>
      </c>
      <c r="M382" s="11" t="s">
        <v>39</v>
      </c>
      <c r="N382" s="11" t="s">
        <v>39</v>
      </c>
      <c r="O382" s="11" t="s">
        <v>39</v>
      </c>
      <c r="P382" s="12">
        <v>9.1829999999999998</v>
      </c>
      <c r="Q382" s="12">
        <v>0.113</v>
      </c>
      <c r="R382" s="12" t="s">
        <v>39</v>
      </c>
      <c r="S382" s="12" t="s">
        <v>39</v>
      </c>
      <c r="T382" s="12">
        <v>9.2959999999999994</v>
      </c>
      <c r="U382" s="13">
        <v>8.2639999999999993</v>
      </c>
      <c r="V382" s="13">
        <v>0.10100000000000001</v>
      </c>
      <c r="W382" s="13" t="s">
        <v>39</v>
      </c>
      <c r="X382" s="13" t="s">
        <v>39</v>
      </c>
      <c r="Y382" s="13">
        <v>8.3650000000000002</v>
      </c>
      <c r="Z382" s="14">
        <v>501.62799999999999</v>
      </c>
      <c r="AA382" s="14" t="s">
        <v>39</v>
      </c>
      <c r="AB382" s="14" t="s">
        <v>39</v>
      </c>
      <c r="AC382" s="14" t="s">
        <v>39</v>
      </c>
      <c r="AD382" s="14">
        <v>501.62799999999999</v>
      </c>
      <c r="AE382" s="15" t="s">
        <v>39</v>
      </c>
      <c r="AF382" s="15" t="s">
        <v>39</v>
      </c>
      <c r="AG382" s="15" t="s">
        <v>39</v>
      </c>
      <c r="AH382" s="15" t="s">
        <v>39</v>
      </c>
      <c r="AI382" s="15" t="s">
        <v>39</v>
      </c>
      <c r="AJ382" s="16" t="s">
        <v>39</v>
      </c>
    </row>
    <row r="383" spans="1:36" ht="51" customHeight="1" x14ac:dyDescent="0.25">
      <c r="A383" s="7">
        <v>2020</v>
      </c>
      <c r="B383" s="8">
        <v>40211</v>
      </c>
      <c r="C383" s="9" t="s">
        <v>402</v>
      </c>
      <c r="D383" s="9" t="s">
        <v>179</v>
      </c>
      <c r="E383" s="9" t="s">
        <v>52</v>
      </c>
      <c r="F383" s="10">
        <v>86</v>
      </c>
      <c r="G383" s="10" t="s">
        <v>39</v>
      </c>
      <c r="H383" s="10" t="s">
        <v>39</v>
      </c>
      <c r="I383" s="10" t="s">
        <v>39</v>
      </c>
      <c r="J383" s="10">
        <v>86</v>
      </c>
      <c r="K383" s="11" t="s">
        <v>39</v>
      </c>
      <c r="L383" s="11" t="s">
        <v>39</v>
      </c>
      <c r="M383" s="11" t="s">
        <v>39</v>
      </c>
      <c r="N383" s="11" t="s">
        <v>39</v>
      </c>
      <c r="O383" s="11" t="s">
        <v>39</v>
      </c>
      <c r="P383" s="12">
        <v>3.2189999999999999</v>
      </c>
      <c r="Q383" s="12" t="s">
        <v>39</v>
      </c>
      <c r="R383" s="12" t="s">
        <v>39</v>
      </c>
      <c r="S383" s="12" t="s">
        <v>39</v>
      </c>
      <c r="T383" s="12">
        <v>3.2189999999999999</v>
      </c>
      <c r="U383" s="13">
        <v>2.8969999999999998</v>
      </c>
      <c r="V383" s="13" t="s">
        <v>39</v>
      </c>
      <c r="W383" s="13" t="s">
        <v>39</v>
      </c>
      <c r="X383" s="13" t="s">
        <v>39</v>
      </c>
      <c r="Y383" s="13">
        <v>2.8969999999999998</v>
      </c>
      <c r="Z383" s="14">
        <v>173.726</v>
      </c>
      <c r="AA383" s="14" t="s">
        <v>39</v>
      </c>
      <c r="AB383" s="14" t="s">
        <v>39</v>
      </c>
      <c r="AC383" s="14" t="s">
        <v>39</v>
      </c>
      <c r="AD383" s="14">
        <v>173.726</v>
      </c>
      <c r="AE383" s="15" t="s">
        <v>39</v>
      </c>
      <c r="AF383" s="15" t="s">
        <v>39</v>
      </c>
      <c r="AG383" s="15" t="s">
        <v>39</v>
      </c>
      <c r="AH383" s="15" t="s">
        <v>39</v>
      </c>
      <c r="AI383" s="15" t="s">
        <v>39</v>
      </c>
      <c r="AJ383" s="16" t="s">
        <v>39</v>
      </c>
    </row>
    <row r="384" spans="1:36" ht="51" customHeight="1" x14ac:dyDescent="0.25">
      <c r="A384" s="7">
        <v>2020</v>
      </c>
      <c r="B384" s="8">
        <v>40211</v>
      </c>
      <c r="C384" s="9" t="s">
        <v>402</v>
      </c>
      <c r="D384" s="9" t="s">
        <v>179</v>
      </c>
      <c r="E384" s="9" t="s">
        <v>49</v>
      </c>
      <c r="F384" s="10">
        <v>21082</v>
      </c>
      <c r="G384" s="10">
        <v>8</v>
      </c>
      <c r="H384" s="10" t="s">
        <v>39</v>
      </c>
      <c r="I384" s="10" t="s">
        <v>39</v>
      </c>
      <c r="J384" s="10">
        <v>21090</v>
      </c>
      <c r="K384" s="11" t="s">
        <v>39</v>
      </c>
      <c r="L384" s="11" t="s">
        <v>39</v>
      </c>
      <c r="M384" s="11" t="s">
        <v>39</v>
      </c>
      <c r="N384" s="11" t="s">
        <v>39</v>
      </c>
      <c r="O384" s="11" t="s">
        <v>39</v>
      </c>
      <c r="P384" s="12">
        <v>43.524000000000001</v>
      </c>
      <c r="Q384" s="12">
        <v>7.9039999999999999</v>
      </c>
      <c r="R384" s="12" t="s">
        <v>39</v>
      </c>
      <c r="S384" s="12" t="s">
        <v>39</v>
      </c>
      <c r="T384" s="12">
        <v>51.427999999999997</v>
      </c>
      <c r="U384" s="13">
        <v>39.170999999999999</v>
      </c>
      <c r="V384" s="13">
        <v>7.1130000000000004</v>
      </c>
      <c r="W384" s="13" t="s">
        <v>39</v>
      </c>
      <c r="X384" s="13" t="s">
        <v>39</v>
      </c>
      <c r="Y384" s="13">
        <v>46.283999999999999</v>
      </c>
      <c r="Z384" s="14">
        <v>2774.567</v>
      </c>
      <c r="AA384" s="14" t="s">
        <v>39</v>
      </c>
      <c r="AB384" s="14" t="s">
        <v>39</v>
      </c>
      <c r="AC384" s="14" t="s">
        <v>39</v>
      </c>
      <c r="AD384" s="14">
        <v>2774.567</v>
      </c>
      <c r="AE384" s="15" t="s">
        <v>39</v>
      </c>
      <c r="AF384" s="15" t="s">
        <v>39</v>
      </c>
      <c r="AG384" s="15" t="s">
        <v>39</v>
      </c>
      <c r="AH384" s="15" t="s">
        <v>39</v>
      </c>
      <c r="AI384" s="15" t="s">
        <v>39</v>
      </c>
      <c r="AJ384" s="16" t="s">
        <v>39</v>
      </c>
    </row>
    <row r="385" spans="1:36" ht="51" customHeight="1" x14ac:dyDescent="0.25">
      <c r="A385" s="7">
        <v>2020</v>
      </c>
      <c r="B385" s="8">
        <v>40211</v>
      </c>
      <c r="C385" s="9" t="s">
        <v>402</v>
      </c>
      <c r="D385" s="9" t="s">
        <v>124</v>
      </c>
      <c r="E385" s="9" t="s">
        <v>49</v>
      </c>
      <c r="F385" s="10">
        <v>143</v>
      </c>
      <c r="G385" s="10" t="s">
        <v>39</v>
      </c>
      <c r="H385" s="10" t="s">
        <v>39</v>
      </c>
      <c r="I385" s="10" t="s">
        <v>39</v>
      </c>
      <c r="J385" s="10">
        <v>143</v>
      </c>
      <c r="K385" s="11" t="s">
        <v>39</v>
      </c>
      <c r="L385" s="11" t="s">
        <v>39</v>
      </c>
      <c r="M385" s="11" t="s">
        <v>39</v>
      </c>
      <c r="N385" s="11" t="s">
        <v>39</v>
      </c>
      <c r="O385" s="11" t="s">
        <v>39</v>
      </c>
      <c r="P385" s="12">
        <v>0.11600000000000001</v>
      </c>
      <c r="Q385" s="12" t="s">
        <v>39</v>
      </c>
      <c r="R385" s="12" t="s">
        <v>39</v>
      </c>
      <c r="S385" s="12" t="s">
        <v>39</v>
      </c>
      <c r="T385" s="12">
        <v>0.11600000000000001</v>
      </c>
      <c r="U385" s="13">
        <v>0.104</v>
      </c>
      <c r="V385" s="13" t="s">
        <v>39</v>
      </c>
      <c r="W385" s="13" t="s">
        <v>39</v>
      </c>
      <c r="X385" s="13" t="s">
        <v>39</v>
      </c>
      <c r="Y385" s="13">
        <v>0.104</v>
      </c>
      <c r="Z385" s="14">
        <v>6.27</v>
      </c>
      <c r="AA385" s="14" t="s">
        <v>39</v>
      </c>
      <c r="AB385" s="14" t="s">
        <v>39</v>
      </c>
      <c r="AC385" s="14" t="s">
        <v>39</v>
      </c>
      <c r="AD385" s="14">
        <v>6.27</v>
      </c>
      <c r="AE385" s="15" t="s">
        <v>39</v>
      </c>
      <c r="AF385" s="15" t="s">
        <v>39</v>
      </c>
      <c r="AG385" s="15" t="s">
        <v>39</v>
      </c>
      <c r="AH385" s="15" t="s">
        <v>39</v>
      </c>
      <c r="AI385" s="15" t="s">
        <v>39</v>
      </c>
      <c r="AJ385" s="16" t="s">
        <v>39</v>
      </c>
    </row>
    <row r="386" spans="1:36" ht="51" customHeight="1" x14ac:dyDescent="0.25">
      <c r="A386" s="7">
        <v>2020</v>
      </c>
      <c r="B386" s="8">
        <v>40212</v>
      </c>
      <c r="C386" s="9" t="s">
        <v>403</v>
      </c>
      <c r="D386" s="9" t="s">
        <v>54</v>
      </c>
      <c r="E386" s="9" t="s">
        <v>38</v>
      </c>
      <c r="F386" s="10" t="s">
        <v>39</v>
      </c>
      <c r="G386" s="10">
        <v>5</v>
      </c>
      <c r="H386" s="10">
        <v>2198</v>
      </c>
      <c r="I386" s="10" t="s">
        <v>39</v>
      </c>
      <c r="J386" s="10">
        <v>2203</v>
      </c>
      <c r="K386" s="11" t="s">
        <v>39</v>
      </c>
      <c r="L386" s="11">
        <v>10</v>
      </c>
      <c r="M386" s="11">
        <v>1093</v>
      </c>
      <c r="N386" s="11" t="s">
        <v>39</v>
      </c>
      <c r="O386" s="11">
        <v>1103</v>
      </c>
      <c r="P386" s="12" t="s">
        <v>39</v>
      </c>
      <c r="Q386" s="12">
        <v>0.47099999999999997</v>
      </c>
      <c r="R386" s="12">
        <v>76.125</v>
      </c>
      <c r="S386" s="12" t="s">
        <v>39</v>
      </c>
      <c r="T386" s="12">
        <v>76.596000000000004</v>
      </c>
      <c r="U386" s="13" t="s">
        <v>39</v>
      </c>
      <c r="V386" s="13">
        <v>0.47099999999999997</v>
      </c>
      <c r="W386" s="13">
        <v>76.125</v>
      </c>
      <c r="X386" s="13" t="s">
        <v>39</v>
      </c>
      <c r="Y386" s="13">
        <v>76.596000000000004</v>
      </c>
      <c r="Z386" s="14" t="s">
        <v>39</v>
      </c>
      <c r="AA386" s="14" t="s">
        <v>39</v>
      </c>
      <c r="AB386" s="14" t="s">
        <v>39</v>
      </c>
      <c r="AC386" s="14" t="s">
        <v>39</v>
      </c>
      <c r="AD386" s="14" t="s">
        <v>39</v>
      </c>
      <c r="AE386" s="15" t="s">
        <v>39</v>
      </c>
      <c r="AF386" s="15">
        <v>5</v>
      </c>
      <c r="AG386" s="15">
        <v>50</v>
      </c>
      <c r="AH386" s="15" t="s">
        <v>39</v>
      </c>
      <c r="AI386" s="15">
        <v>55</v>
      </c>
      <c r="AJ386" s="16" t="s">
        <v>39</v>
      </c>
    </row>
    <row r="387" spans="1:36" ht="51" customHeight="1" x14ac:dyDescent="0.25">
      <c r="A387" s="7">
        <v>2020</v>
      </c>
      <c r="B387" s="8">
        <v>40228</v>
      </c>
      <c r="C387" s="9" t="s">
        <v>404</v>
      </c>
      <c r="D387" s="9" t="s">
        <v>57</v>
      </c>
      <c r="E387" s="9" t="s">
        <v>52</v>
      </c>
      <c r="F387" s="10">
        <v>37418</v>
      </c>
      <c r="G387" s="10">
        <v>18</v>
      </c>
      <c r="H387" s="10" t="s">
        <v>39</v>
      </c>
      <c r="I387" s="10" t="s">
        <v>39</v>
      </c>
      <c r="J387" s="10">
        <v>37436</v>
      </c>
      <c r="K387" s="11">
        <v>26.85</v>
      </c>
      <c r="L387" s="11">
        <v>5.8</v>
      </c>
      <c r="M387" s="11" t="s">
        <v>39</v>
      </c>
      <c r="N387" s="11" t="s">
        <v>39</v>
      </c>
      <c r="O387" s="11">
        <v>32.65</v>
      </c>
      <c r="P387" s="12">
        <v>54</v>
      </c>
      <c r="Q387" s="12">
        <v>19</v>
      </c>
      <c r="R387" s="12" t="s">
        <v>39</v>
      </c>
      <c r="S387" s="12" t="s">
        <v>39</v>
      </c>
      <c r="T387" s="12">
        <v>73</v>
      </c>
      <c r="U387" s="13">
        <v>18.25</v>
      </c>
      <c r="V387" s="13">
        <v>0</v>
      </c>
      <c r="W387" s="13" t="s">
        <v>39</v>
      </c>
      <c r="X387" s="13" t="s">
        <v>39</v>
      </c>
      <c r="Y387" s="13">
        <v>18.25</v>
      </c>
      <c r="Z387" s="14">
        <v>188.65</v>
      </c>
      <c r="AA387" s="14" t="s">
        <v>39</v>
      </c>
      <c r="AB387" s="14" t="s">
        <v>39</v>
      </c>
      <c r="AC387" s="14" t="s">
        <v>39</v>
      </c>
      <c r="AD387" s="14">
        <v>188.65</v>
      </c>
      <c r="AE387" s="15" t="s">
        <v>39</v>
      </c>
      <c r="AF387" s="15" t="s">
        <v>39</v>
      </c>
      <c r="AG387" s="15" t="s">
        <v>39</v>
      </c>
      <c r="AH387" s="15" t="s">
        <v>39</v>
      </c>
      <c r="AI387" s="15" t="s">
        <v>39</v>
      </c>
      <c r="AJ387" s="16" t="s">
        <v>39</v>
      </c>
    </row>
    <row r="388" spans="1:36" ht="51" customHeight="1" x14ac:dyDescent="0.25">
      <c r="A388" s="7">
        <v>2020</v>
      </c>
      <c r="B388" s="8">
        <v>40437</v>
      </c>
      <c r="C388" s="9" t="s">
        <v>421</v>
      </c>
      <c r="D388" s="9" t="s">
        <v>193</v>
      </c>
      <c r="E388" s="9" t="s">
        <v>285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6" t="s">
        <v>39</v>
      </c>
    </row>
    <row r="389" spans="1:36" ht="63.6" customHeight="1" x14ac:dyDescent="0.25">
      <c r="A389" s="7">
        <v>2020</v>
      </c>
      <c r="B389" s="8">
        <v>44372</v>
      </c>
      <c r="C389" s="9" t="s">
        <v>405</v>
      </c>
      <c r="D389" s="9" t="s">
        <v>67</v>
      </c>
      <c r="E389" s="9" t="s">
        <v>68</v>
      </c>
      <c r="F389" s="10">
        <v>34578</v>
      </c>
      <c r="G389" s="10">
        <v>256</v>
      </c>
      <c r="H389" s="10" t="s">
        <v>39</v>
      </c>
      <c r="I389" s="10" t="s">
        <v>39</v>
      </c>
      <c r="J389" s="10">
        <v>34834</v>
      </c>
      <c r="K389" s="11">
        <v>105</v>
      </c>
      <c r="L389" s="11">
        <v>225</v>
      </c>
      <c r="M389" s="11" t="s">
        <v>39</v>
      </c>
      <c r="N389" s="11" t="s">
        <v>39</v>
      </c>
      <c r="O389" s="11">
        <v>330</v>
      </c>
      <c r="P389" s="12">
        <v>35</v>
      </c>
      <c r="Q389" s="12">
        <v>75</v>
      </c>
      <c r="R389" s="12" t="s">
        <v>39</v>
      </c>
      <c r="S389" s="12" t="s">
        <v>39</v>
      </c>
      <c r="T389" s="12">
        <v>110</v>
      </c>
      <c r="U389" s="13">
        <v>35</v>
      </c>
      <c r="V389" s="13">
        <v>75</v>
      </c>
      <c r="W389" s="13" t="s">
        <v>39</v>
      </c>
      <c r="X389" s="13" t="s">
        <v>39</v>
      </c>
      <c r="Y389" s="13">
        <v>110</v>
      </c>
      <c r="Z389" s="14">
        <v>1225</v>
      </c>
      <c r="AA389" s="14">
        <v>2625</v>
      </c>
      <c r="AB389" s="14" t="s">
        <v>39</v>
      </c>
      <c r="AC389" s="14" t="s">
        <v>39</v>
      </c>
      <c r="AD389" s="14">
        <v>3850</v>
      </c>
      <c r="AE389" s="15">
        <v>101.503</v>
      </c>
      <c r="AF389" s="15">
        <v>233.44399999999999</v>
      </c>
      <c r="AG389" s="15" t="s">
        <v>39</v>
      </c>
      <c r="AH389" s="15" t="s">
        <v>39</v>
      </c>
      <c r="AI389" s="15">
        <v>334.947</v>
      </c>
      <c r="AJ389" s="16" t="s">
        <v>39</v>
      </c>
    </row>
    <row r="390" spans="1:36" ht="38.450000000000003" customHeight="1" x14ac:dyDescent="0.25">
      <c r="A390" s="7">
        <v>2020</v>
      </c>
      <c r="B390" s="8">
        <v>54913</v>
      </c>
      <c r="C390" s="9" t="s">
        <v>406</v>
      </c>
      <c r="D390" s="9" t="s">
        <v>139</v>
      </c>
      <c r="E390" s="9" t="s">
        <v>113</v>
      </c>
      <c r="F390" s="10">
        <v>16768</v>
      </c>
      <c r="G390" s="10">
        <v>474</v>
      </c>
      <c r="H390" s="10" t="s">
        <v>39</v>
      </c>
      <c r="I390" s="10" t="s">
        <v>39</v>
      </c>
      <c r="J390" s="10">
        <v>17242</v>
      </c>
      <c r="K390" s="11" t="s">
        <v>39</v>
      </c>
      <c r="L390" s="11" t="s">
        <v>39</v>
      </c>
      <c r="M390" s="11" t="s">
        <v>39</v>
      </c>
      <c r="N390" s="11" t="s">
        <v>39</v>
      </c>
      <c r="O390" s="11" t="s">
        <v>39</v>
      </c>
      <c r="P390" s="12">
        <v>14.66</v>
      </c>
      <c r="Q390" s="12">
        <v>92.8</v>
      </c>
      <c r="R390" s="12" t="s">
        <v>39</v>
      </c>
      <c r="S390" s="12" t="s">
        <v>39</v>
      </c>
      <c r="T390" s="12">
        <v>107.46</v>
      </c>
      <c r="U390" s="13">
        <v>14.66</v>
      </c>
      <c r="V390" s="13">
        <v>46.36</v>
      </c>
      <c r="W390" s="13" t="s">
        <v>39</v>
      </c>
      <c r="X390" s="13" t="s">
        <v>39</v>
      </c>
      <c r="Y390" s="13">
        <v>61.02</v>
      </c>
      <c r="Z390" s="14">
        <v>719.99</v>
      </c>
      <c r="AA390" s="14">
        <v>3170.74</v>
      </c>
      <c r="AB390" s="14" t="s">
        <v>39</v>
      </c>
      <c r="AC390" s="14" t="s">
        <v>39</v>
      </c>
      <c r="AD390" s="14">
        <v>3890.73</v>
      </c>
      <c r="AE390" s="15">
        <v>1027.28</v>
      </c>
      <c r="AF390" s="15">
        <v>694.71</v>
      </c>
      <c r="AG390" s="15" t="s">
        <v>39</v>
      </c>
      <c r="AH390" s="15" t="s">
        <v>39</v>
      </c>
      <c r="AI390" s="15">
        <v>1721.99</v>
      </c>
      <c r="AJ390" s="16" t="s">
        <v>39</v>
      </c>
    </row>
    <row r="391" spans="1:36" ht="51" customHeight="1" x14ac:dyDescent="0.25">
      <c r="A391" s="7">
        <v>2020</v>
      </c>
      <c r="B391" s="8">
        <v>55787</v>
      </c>
      <c r="C391" s="9" t="s">
        <v>407</v>
      </c>
      <c r="D391" s="9" t="s">
        <v>42</v>
      </c>
      <c r="E391" s="9" t="s">
        <v>43</v>
      </c>
      <c r="F391" s="10">
        <v>0</v>
      </c>
      <c r="G391" s="10">
        <v>15</v>
      </c>
      <c r="H391" s="10" t="s">
        <v>39</v>
      </c>
      <c r="I391" s="10" t="s">
        <v>39</v>
      </c>
      <c r="J391" s="10">
        <v>15</v>
      </c>
      <c r="K391" s="11">
        <v>0</v>
      </c>
      <c r="L391" s="11">
        <v>41.445</v>
      </c>
      <c r="M391" s="11" t="s">
        <v>39</v>
      </c>
      <c r="N391" s="11" t="s">
        <v>39</v>
      </c>
      <c r="O391" s="11">
        <v>41.445</v>
      </c>
      <c r="P391" s="12">
        <v>0</v>
      </c>
      <c r="Q391" s="12">
        <v>0.80800000000000005</v>
      </c>
      <c r="R391" s="12" t="s">
        <v>39</v>
      </c>
      <c r="S391" s="12" t="s">
        <v>39</v>
      </c>
      <c r="T391" s="12">
        <v>0.80800000000000005</v>
      </c>
      <c r="U391" s="13">
        <v>0</v>
      </c>
      <c r="V391" s="13">
        <v>0.70099999999999996</v>
      </c>
      <c r="W391" s="13" t="s">
        <v>39</v>
      </c>
      <c r="X391" s="13" t="s">
        <v>39</v>
      </c>
      <c r="Y391" s="13">
        <v>0.70099999999999996</v>
      </c>
      <c r="Z391" s="14">
        <v>0</v>
      </c>
      <c r="AA391" s="14">
        <v>0.08</v>
      </c>
      <c r="AB391" s="14" t="s">
        <v>39</v>
      </c>
      <c r="AC391" s="14" t="s">
        <v>39</v>
      </c>
      <c r="AD391" s="14">
        <v>0.08</v>
      </c>
      <c r="AE391" s="15">
        <v>0</v>
      </c>
      <c r="AF391" s="15">
        <v>7.5</v>
      </c>
      <c r="AG391" s="15" t="s">
        <v>39</v>
      </c>
      <c r="AH391" s="15" t="s">
        <v>39</v>
      </c>
      <c r="AI391" s="15">
        <v>7.5</v>
      </c>
      <c r="AJ391" s="16">
        <v>0</v>
      </c>
    </row>
    <row r="392" spans="1:36" ht="38.450000000000003" customHeight="1" x14ac:dyDescent="0.25">
      <c r="A392" s="7">
        <v>2020</v>
      </c>
      <c r="B392" s="8">
        <v>55937</v>
      </c>
      <c r="C392" s="9" t="s">
        <v>408</v>
      </c>
      <c r="D392" s="9" t="s">
        <v>67</v>
      </c>
      <c r="E392" s="9" t="s">
        <v>49</v>
      </c>
      <c r="F392" s="10" t="s">
        <v>39</v>
      </c>
      <c r="G392" s="10">
        <v>8</v>
      </c>
      <c r="H392" s="10">
        <v>4</v>
      </c>
      <c r="I392" s="10" t="s">
        <v>39</v>
      </c>
      <c r="J392" s="10">
        <v>12</v>
      </c>
      <c r="K392" s="11" t="s">
        <v>39</v>
      </c>
      <c r="L392" s="11">
        <v>6.2240000000000002</v>
      </c>
      <c r="M392" s="11" t="s">
        <v>39</v>
      </c>
      <c r="N392" s="11" t="s">
        <v>39</v>
      </c>
      <c r="O392" s="11">
        <v>6.2240000000000002</v>
      </c>
      <c r="P392" s="12" t="s">
        <v>39</v>
      </c>
      <c r="Q392" s="12">
        <v>10.462999999999999</v>
      </c>
      <c r="R392" s="12">
        <v>95.5</v>
      </c>
      <c r="S392" s="12" t="s">
        <v>39</v>
      </c>
      <c r="T392" s="12">
        <v>105.96299999999999</v>
      </c>
      <c r="U392" s="13" t="s">
        <v>39</v>
      </c>
      <c r="V392" s="13">
        <v>6.2240000000000002</v>
      </c>
      <c r="W392" s="13" t="s">
        <v>39</v>
      </c>
      <c r="X392" s="13" t="s">
        <v>39</v>
      </c>
      <c r="Y392" s="13">
        <v>6.2240000000000002</v>
      </c>
      <c r="Z392" s="14" t="s">
        <v>39</v>
      </c>
      <c r="AA392" s="14">
        <v>151.87299999999999</v>
      </c>
      <c r="AB392" s="14" t="s">
        <v>39</v>
      </c>
      <c r="AC392" s="14" t="s">
        <v>39</v>
      </c>
      <c r="AD392" s="14">
        <v>151.87299999999999</v>
      </c>
      <c r="AE392" s="15" t="s">
        <v>39</v>
      </c>
      <c r="AF392" s="15">
        <v>36.280999999999999</v>
      </c>
      <c r="AG392" s="15" t="s">
        <v>39</v>
      </c>
      <c r="AH392" s="15" t="s">
        <v>39</v>
      </c>
      <c r="AI392" s="15">
        <v>36.280999999999999</v>
      </c>
      <c r="AJ392" s="16" t="s">
        <v>39</v>
      </c>
    </row>
    <row r="393" spans="1:36" ht="38.450000000000003" customHeight="1" x14ac:dyDescent="0.25">
      <c r="A393" s="7">
        <v>2020</v>
      </c>
      <c r="B393" s="8">
        <v>58127</v>
      </c>
      <c r="C393" s="9" t="s">
        <v>409</v>
      </c>
      <c r="D393" s="9" t="s">
        <v>139</v>
      </c>
      <c r="E393" s="9" t="s">
        <v>113</v>
      </c>
      <c r="F393" s="10">
        <v>704</v>
      </c>
      <c r="G393" s="10" t="s">
        <v>39</v>
      </c>
      <c r="H393" s="10">
        <v>25</v>
      </c>
      <c r="I393" s="10" t="s">
        <v>39</v>
      </c>
      <c r="J393" s="10">
        <v>729</v>
      </c>
      <c r="K393" s="11" t="s">
        <v>39</v>
      </c>
      <c r="L393" s="11" t="s">
        <v>39</v>
      </c>
      <c r="M393" s="11" t="s">
        <v>39</v>
      </c>
      <c r="N393" s="11" t="s">
        <v>39</v>
      </c>
      <c r="O393" s="11" t="s">
        <v>39</v>
      </c>
      <c r="P393" s="12">
        <v>0.71299999999999997</v>
      </c>
      <c r="Q393" s="12" t="s">
        <v>39</v>
      </c>
      <c r="R393" s="12">
        <v>1.3680000000000001</v>
      </c>
      <c r="S393" s="12" t="s">
        <v>39</v>
      </c>
      <c r="T393" s="12">
        <v>2.081</v>
      </c>
      <c r="U393" s="13" t="s">
        <v>39</v>
      </c>
      <c r="V393" s="13" t="s">
        <v>39</v>
      </c>
      <c r="W393" s="13">
        <v>0.96199999999999997</v>
      </c>
      <c r="X393" s="13" t="s">
        <v>39</v>
      </c>
      <c r="Y393" s="13">
        <v>0.96199999999999997</v>
      </c>
      <c r="Z393" s="14">
        <v>30</v>
      </c>
      <c r="AA393" s="14" t="s">
        <v>39</v>
      </c>
      <c r="AB393" s="14">
        <v>50.561</v>
      </c>
      <c r="AC393" s="14" t="s">
        <v>39</v>
      </c>
      <c r="AD393" s="14">
        <v>80.561000000000007</v>
      </c>
      <c r="AE393" s="15">
        <v>114.027</v>
      </c>
      <c r="AF393" s="15" t="s">
        <v>39</v>
      </c>
      <c r="AG393" s="15">
        <v>263.07600000000002</v>
      </c>
      <c r="AH393" s="15" t="s">
        <v>39</v>
      </c>
      <c r="AI393" s="15">
        <v>377.10300000000001</v>
      </c>
      <c r="AJ393" s="16" t="s">
        <v>39</v>
      </c>
    </row>
    <row r="394" spans="1:36" ht="51" customHeight="1" x14ac:dyDescent="0.25">
      <c r="A394" s="7">
        <v>2020</v>
      </c>
      <c r="B394" s="8">
        <v>60482</v>
      </c>
      <c r="C394" s="9" t="s">
        <v>410</v>
      </c>
      <c r="D394" s="9" t="s">
        <v>169</v>
      </c>
      <c r="E394" s="9" t="s">
        <v>77</v>
      </c>
      <c r="F394" s="10">
        <v>434</v>
      </c>
      <c r="G394" s="10" t="s">
        <v>39</v>
      </c>
      <c r="H394" s="10">
        <v>23</v>
      </c>
      <c r="I394" s="10" t="s">
        <v>39</v>
      </c>
      <c r="J394" s="10">
        <v>457</v>
      </c>
      <c r="K394" s="11">
        <v>4.22</v>
      </c>
      <c r="L394" s="11" t="s">
        <v>39</v>
      </c>
      <c r="M394" s="11">
        <v>6.1</v>
      </c>
      <c r="N394" s="11" t="s">
        <v>39</v>
      </c>
      <c r="O394" s="11">
        <v>10.32</v>
      </c>
      <c r="P394" s="12">
        <v>12.5</v>
      </c>
      <c r="Q394" s="12" t="s">
        <v>39</v>
      </c>
      <c r="R394" s="12">
        <v>22.5</v>
      </c>
      <c r="S394" s="12" t="s">
        <v>39</v>
      </c>
      <c r="T394" s="12">
        <v>35</v>
      </c>
      <c r="U394" s="13">
        <v>5.5</v>
      </c>
      <c r="V394" s="13" t="s">
        <v>39</v>
      </c>
      <c r="W394" s="13">
        <v>7.9</v>
      </c>
      <c r="X394" s="13" t="s">
        <v>39</v>
      </c>
      <c r="Y394" s="13">
        <v>13.4</v>
      </c>
      <c r="Z394" s="14" t="s">
        <v>39</v>
      </c>
      <c r="AA394" s="14" t="s">
        <v>39</v>
      </c>
      <c r="AB394" s="14" t="s">
        <v>39</v>
      </c>
      <c r="AC394" s="14" t="s">
        <v>39</v>
      </c>
      <c r="AD394" s="14" t="s">
        <v>39</v>
      </c>
      <c r="AE394" s="15">
        <v>40</v>
      </c>
      <c r="AF394" s="15" t="s">
        <v>39</v>
      </c>
      <c r="AG394" s="15">
        <v>58</v>
      </c>
      <c r="AH394" s="15" t="s">
        <v>39</v>
      </c>
      <c r="AI394" s="15">
        <v>98</v>
      </c>
      <c r="AJ394" s="16" t="s">
        <v>39</v>
      </c>
    </row>
    <row r="395" spans="1:36" ht="63.6" customHeight="1" x14ac:dyDescent="0.25">
      <c r="A395" s="7">
        <v>2020</v>
      </c>
      <c r="B395" s="8">
        <v>60631</v>
      </c>
      <c r="C395" s="9" t="s">
        <v>411</v>
      </c>
      <c r="D395" s="9" t="s">
        <v>116</v>
      </c>
      <c r="E395" s="9" t="s">
        <v>49</v>
      </c>
      <c r="F395" s="10" t="s">
        <v>39</v>
      </c>
      <c r="G395" s="10" t="s">
        <v>39</v>
      </c>
      <c r="H395" s="10">
        <v>4</v>
      </c>
      <c r="I395" s="10" t="s">
        <v>39</v>
      </c>
      <c r="J395" s="10">
        <v>4</v>
      </c>
      <c r="K395" s="11" t="s">
        <v>39</v>
      </c>
      <c r="L395" s="11" t="s">
        <v>39</v>
      </c>
      <c r="M395" s="11" t="s">
        <v>39</v>
      </c>
      <c r="N395" s="11" t="s">
        <v>39</v>
      </c>
      <c r="O395" s="11" t="s">
        <v>39</v>
      </c>
      <c r="P395" s="12" t="s">
        <v>39</v>
      </c>
      <c r="Q395" s="12" t="s">
        <v>39</v>
      </c>
      <c r="R395" s="12">
        <v>166.1</v>
      </c>
      <c r="S395" s="12" t="s">
        <v>39</v>
      </c>
      <c r="T395" s="12">
        <v>166.1</v>
      </c>
      <c r="U395" s="13" t="s">
        <v>39</v>
      </c>
      <c r="V395" s="13" t="s">
        <v>39</v>
      </c>
      <c r="W395" s="13" t="s">
        <v>39</v>
      </c>
      <c r="X395" s="13" t="s">
        <v>39</v>
      </c>
      <c r="Y395" s="13" t="s">
        <v>39</v>
      </c>
      <c r="Z395" s="14" t="s">
        <v>39</v>
      </c>
      <c r="AA395" s="14" t="s">
        <v>39</v>
      </c>
      <c r="AB395" s="14" t="s">
        <v>39</v>
      </c>
      <c r="AC395" s="14" t="s">
        <v>39</v>
      </c>
      <c r="AD395" s="14" t="s">
        <v>39</v>
      </c>
      <c r="AE395" s="15" t="s">
        <v>39</v>
      </c>
      <c r="AF395" s="15" t="s">
        <v>39</v>
      </c>
      <c r="AG395" s="15" t="s">
        <v>39</v>
      </c>
      <c r="AH395" s="15" t="s">
        <v>39</v>
      </c>
      <c r="AI395" s="15" t="s">
        <v>39</v>
      </c>
      <c r="AJ395" s="16" t="s">
        <v>39</v>
      </c>
    </row>
  </sheetData>
  <mergeCells count="10">
    <mergeCell ref="AE2:AI2"/>
    <mergeCell ref="A1:E1"/>
    <mergeCell ref="P2:T2"/>
    <mergeCell ref="Z1:AI1"/>
    <mergeCell ref="F2:J2"/>
    <mergeCell ref="F1:Y1"/>
    <mergeCell ref="A2:E2"/>
    <mergeCell ref="U2:Y2"/>
    <mergeCell ref="Z2:AD2"/>
    <mergeCell ref="K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defaultRowHeight="15" x14ac:dyDescent="0.25"/>
  <cols>
    <col min="1" max="1" width="40.5703125" customWidth="1"/>
  </cols>
  <sheetData>
    <row r="1" spans="1:2" x14ac:dyDescent="0.25">
      <c r="A1" t="s">
        <v>422</v>
      </c>
      <c r="B1">
        <f>SUM('Form 861'!O:O)</f>
        <v>1188725.8979999998</v>
      </c>
    </row>
    <row r="2" spans="1:2" x14ac:dyDescent="0.25">
      <c r="A2" t="s">
        <v>423</v>
      </c>
      <c r="B2">
        <f>SUM('Form 861'!Y:Y)</f>
        <v>13146.53099999999</v>
      </c>
    </row>
    <row r="3" spans="1:2" x14ac:dyDescent="0.25">
      <c r="A3" t="s">
        <v>424</v>
      </c>
      <c r="B3">
        <v>8760</v>
      </c>
    </row>
    <row r="5" spans="1:2" x14ac:dyDescent="0.25">
      <c r="A5" t="s">
        <v>425</v>
      </c>
      <c r="B5">
        <f>B1/(B2*B3)</f>
        <v>1.032206164688294E-2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H2"/>
  <sheetViews>
    <sheetView tabSelected="1" workbookViewId="0">
      <selection activeCell="B2" sqref="B2"/>
    </sheetView>
  </sheetViews>
  <sheetFormatPr defaultRowHeight="15" x14ac:dyDescent="0.25"/>
  <cols>
    <col min="1" max="1" width="19.28515625" customWidth="1"/>
  </cols>
  <sheetData>
    <row r="1" spans="1:34" x14ac:dyDescent="0.25">
      <c r="A1" s="3" t="s">
        <v>426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25">
      <c r="A2" s="1" t="s">
        <v>427</v>
      </c>
      <c r="B2" s="5">
        <f>Calculation!$B$5</f>
        <v>1.032206164688294E-2</v>
      </c>
      <c r="C2" s="5">
        <f>Calculation!$B$5</f>
        <v>1.032206164688294E-2</v>
      </c>
      <c r="D2" s="5">
        <f>Calculation!$B$5</f>
        <v>1.032206164688294E-2</v>
      </c>
      <c r="E2" s="5">
        <f>Calculation!$B$5</f>
        <v>1.032206164688294E-2</v>
      </c>
      <c r="F2" s="5">
        <f>Calculation!$B$5</f>
        <v>1.032206164688294E-2</v>
      </c>
      <c r="G2" s="5">
        <f>Calculation!$B$5</f>
        <v>1.032206164688294E-2</v>
      </c>
      <c r="H2" s="5">
        <f>Calculation!$B$5</f>
        <v>1.032206164688294E-2</v>
      </c>
      <c r="I2" s="5">
        <f>Calculation!$B$5</f>
        <v>1.032206164688294E-2</v>
      </c>
      <c r="J2" s="5">
        <f>Calculation!$B$5</f>
        <v>1.032206164688294E-2</v>
      </c>
      <c r="K2" s="5">
        <f>Calculation!$B$5</f>
        <v>1.032206164688294E-2</v>
      </c>
      <c r="L2" s="5">
        <f>Calculation!$B$5</f>
        <v>1.032206164688294E-2</v>
      </c>
      <c r="M2" s="5">
        <f>Calculation!$B$5</f>
        <v>1.032206164688294E-2</v>
      </c>
      <c r="N2" s="5">
        <f>Calculation!$B$5</f>
        <v>1.032206164688294E-2</v>
      </c>
      <c r="O2" s="5">
        <f>Calculation!$B$5</f>
        <v>1.032206164688294E-2</v>
      </c>
      <c r="P2" s="5">
        <f>Calculation!$B$5</f>
        <v>1.032206164688294E-2</v>
      </c>
      <c r="Q2" s="5">
        <f>Calculation!$B$5</f>
        <v>1.032206164688294E-2</v>
      </c>
      <c r="R2" s="5">
        <f>Calculation!$B$5</f>
        <v>1.032206164688294E-2</v>
      </c>
      <c r="S2" s="5">
        <f>Calculation!$B$5</f>
        <v>1.032206164688294E-2</v>
      </c>
      <c r="T2" s="5">
        <f>Calculation!$B$5</f>
        <v>1.032206164688294E-2</v>
      </c>
      <c r="U2" s="5">
        <f>Calculation!$B$5</f>
        <v>1.032206164688294E-2</v>
      </c>
      <c r="V2" s="5">
        <f>Calculation!$B$5</f>
        <v>1.032206164688294E-2</v>
      </c>
      <c r="W2" s="5">
        <f>Calculation!$B$5</f>
        <v>1.032206164688294E-2</v>
      </c>
      <c r="X2" s="5">
        <f>Calculation!$B$5</f>
        <v>1.032206164688294E-2</v>
      </c>
      <c r="Y2" s="5">
        <f>Calculation!$B$5</f>
        <v>1.032206164688294E-2</v>
      </c>
      <c r="Z2" s="5">
        <f>Calculation!$B$5</f>
        <v>1.032206164688294E-2</v>
      </c>
      <c r="AA2" s="5">
        <f>Calculation!$B$5</f>
        <v>1.032206164688294E-2</v>
      </c>
      <c r="AB2" s="5">
        <f>Calculation!$B$5</f>
        <v>1.032206164688294E-2</v>
      </c>
      <c r="AC2" s="5">
        <f>Calculation!$B$5</f>
        <v>1.032206164688294E-2</v>
      </c>
      <c r="AD2" s="5">
        <f>Calculation!$B$5</f>
        <v>1.032206164688294E-2</v>
      </c>
      <c r="AE2" s="5">
        <f>Calculation!$B$5</f>
        <v>1.032206164688294E-2</v>
      </c>
      <c r="AF2" s="5">
        <f>Calculation!$B$5</f>
        <v>1.032206164688294E-2</v>
      </c>
      <c r="AG2" s="5">
        <f>Calculation!$B$5</f>
        <v>1.032206164688294E-2</v>
      </c>
      <c r="AH2" s="5">
        <f>Calculation!$B$5</f>
        <v>1.032206164688294E-2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Form 861</vt:lpstr>
      <vt:lpstr>Calculation</vt:lpstr>
      <vt:lpstr>DRCF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2014-08-26T00:34:41Z</dcterms:created>
  <dcterms:modified xsi:type="dcterms:W3CDTF">2023-09-26T19:48:05Z</dcterms:modified>
</cp:coreProperties>
</file>