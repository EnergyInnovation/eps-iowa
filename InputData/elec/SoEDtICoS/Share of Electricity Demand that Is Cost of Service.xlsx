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IA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471</v>
      </c>
      <c r="C4" t="inlineStr">
        <is>
          <t>Amana Society Service Co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IA</t>
        </is>
      </c>
      <c r="H4" t="inlineStr">
        <is>
          <t>Investor Owned</t>
        </is>
      </c>
      <c r="I4" t="inlineStr">
        <is>
          <t>MISO</t>
        </is>
      </c>
      <c r="J4" t="n">
        <v>1061</v>
      </c>
      <c r="K4" t="n">
        <v>6833</v>
      </c>
      <c r="L4" t="n">
        <v>709</v>
      </c>
      <c r="M4" t="n">
        <v>1221</v>
      </c>
      <c r="N4" t="n">
        <v>8358</v>
      </c>
      <c r="O4" t="n">
        <v>179</v>
      </c>
      <c r="P4" t="n">
        <v>5506</v>
      </c>
      <c r="Q4" t="n">
        <v>51780</v>
      </c>
      <c r="R4" t="n">
        <v>1</v>
      </c>
      <c r="S4" t="n">
        <v>0</v>
      </c>
      <c r="T4" t="n">
        <v>0</v>
      </c>
      <c r="U4" t="n">
        <v>0</v>
      </c>
      <c r="V4" t="n">
        <v>7788</v>
      </c>
      <c r="W4" t="n">
        <v>66971</v>
      </c>
      <c r="X4" t="n">
        <v>889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554</v>
      </c>
      <c r="C5" t="inlineStr">
        <is>
          <t>City of Ames - (IA)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IA</t>
        </is>
      </c>
      <c r="H5" t="inlineStr">
        <is>
          <t>Municipal</t>
        </is>
      </c>
      <c r="I5" t="inlineStr">
        <is>
          <t>MISO</t>
        </is>
      </c>
      <c r="J5" t="n">
        <v>20680.5</v>
      </c>
      <c r="K5" t="n">
        <v>170973</v>
      </c>
      <c r="L5" t="n">
        <v>24979</v>
      </c>
      <c r="M5" t="n">
        <v>28463.1</v>
      </c>
      <c r="N5" t="n">
        <v>334597</v>
      </c>
      <c r="O5" t="n">
        <v>3121</v>
      </c>
      <c r="P5" t="n">
        <v>11868.2</v>
      </c>
      <c r="Q5" t="n">
        <v>145193</v>
      </c>
      <c r="R5" t="n">
        <v>8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61011.8</v>
      </c>
      <c r="W5" t="n">
        <v>650763</v>
      </c>
      <c r="X5" t="n">
        <v>28108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2652</v>
      </c>
      <c r="C6" t="inlineStr">
        <is>
          <t>Butler County Rural Elec Coop - (IA)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IA</t>
        </is>
      </c>
      <c r="H6" t="inlineStr">
        <is>
          <t>Cooperative</t>
        </is>
      </c>
      <c r="I6" t="inlineStr">
        <is>
          <t>SWPP</t>
        </is>
      </c>
      <c r="J6" t="n">
        <v>9793.6</v>
      </c>
      <c r="K6" t="n">
        <v>63458</v>
      </c>
      <c r="L6" t="n">
        <v>3898</v>
      </c>
      <c r="M6" t="n">
        <v>8.1</v>
      </c>
      <c r="N6" t="n">
        <v>21</v>
      </c>
      <c r="O6" t="n">
        <v>10</v>
      </c>
      <c r="P6" t="n">
        <v>18578.3</v>
      </c>
      <c r="Q6" t="n">
        <v>213587</v>
      </c>
      <c r="R6" t="n">
        <v>1202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28380</v>
      </c>
      <c r="W6" t="n">
        <v>277066</v>
      </c>
      <c r="X6" t="n">
        <v>5110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3203</v>
      </c>
      <c r="C7" t="inlineStr">
        <is>
          <t>Cedar Falls Utilities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IA</t>
        </is>
      </c>
      <c r="H7" t="inlineStr">
        <is>
          <t>Municipal</t>
        </is>
      </c>
      <c r="I7" t="inlineStr">
        <is>
          <t>MISO</t>
        </is>
      </c>
      <c r="J7" t="n">
        <v>17475.7</v>
      </c>
      <c r="K7" t="n">
        <v>167715</v>
      </c>
      <c r="L7" t="n">
        <v>17772</v>
      </c>
      <c r="M7" t="n">
        <v>28074.5</v>
      </c>
      <c r="N7" t="n">
        <v>492516</v>
      </c>
      <c r="O7" t="n">
        <v>2226</v>
      </c>
      <c r="P7" t="n">
        <v>4760</v>
      </c>
      <c r="Q7" t="n">
        <v>65608</v>
      </c>
      <c r="R7" t="n">
        <v>248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50310.2</v>
      </c>
      <c r="W7" t="n">
        <v>725839</v>
      </c>
      <c r="X7" t="n">
        <v>20246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5588</v>
      </c>
      <c r="C8" t="inlineStr">
        <is>
          <t>East-Central Iowa Rural Elec Coop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IA</t>
        </is>
      </c>
      <c r="H8" t="inlineStr">
        <is>
          <t>Cooperative</t>
        </is>
      </c>
      <c r="I8" t="inlineStr">
        <is>
          <t>MISO</t>
        </is>
      </c>
      <c r="J8" t="n">
        <v>15812</v>
      </c>
      <c r="K8" t="n">
        <v>119049</v>
      </c>
      <c r="L8" t="n">
        <v>7368</v>
      </c>
      <c r="M8" t="n">
        <v>6769</v>
      </c>
      <c r="N8" t="n">
        <v>58457</v>
      </c>
      <c r="O8" t="n">
        <v>1850</v>
      </c>
      <c r="P8" t="n">
        <v>3100</v>
      </c>
      <c r="Q8" t="n">
        <v>36964</v>
      </c>
      <c r="R8" t="n">
        <v>6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25681</v>
      </c>
      <c r="W8" t="n">
        <v>214470</v>
      </c>
      <c r="X8" t="n">
        <v>9224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5605</v>
      </c>
      <c r="C9" t="inlineStr">
        <is>
          <t>Eastern Iowa Light &amp; Power Coop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IA</t>
        </is>
      </c>
      <c r="H9" t="inlineStr">
        <is>
          <t>Cooperative</t>
        </is>
      </c>
      <c r="I9" t="inlineStr">
        <is>
          <t>MISO</t>
        </is>
      </c>
      <c r="J9" t="n">
        <v>38280.5</v>
      </c>
      <c r="K9" t="n">
        <v>282368</v>
      </c>
      <c r="L9" t="n">
        <v>20749</v>
      </c>
      <c r="M9" t="n">
        <v>9270.4</v>
      </c>
      <c r="N9" t="n">
        <v>77757</v>
      </c>
      <c r="O9" t="n">
        <v>3304</v>
      </c>
      <c r="P9" t="n">
        <v>15165.5</v>
      </c>
      <c r="Q9" t="n">
        <v>204507</v>
      </c>
      <c r="R9" t="n">
        <v>17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62716.4</v>
      </c>
      <c r="W9" t="n">
        <v>564632</v>
      </c>
      <c r="X9" t="n">
        <v>24070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6258</v>
      </c>
      <c r="C10" t="inlineStr">
        <is>
          <t>Federated Rural Electric Assn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IA</t>
        </is>
      </c>
      <c r="H10" t="inlineStr">
        <is>
          <t>Cooperative</t>
        </is>
      </c>
      <c r="I10" t="inlineStr">
        <is>
          <t>MISO</t>
        </is>
      </c>
      <c r="J10" t="n">
        <v>98</v>
      </c>
      <c r="K10" t="n">
        <v>829</v>
      </c>
      <c r="L10" t="n">
        <v>53</v>
      </c>
      <c r="M10" t="inlineStr">
        <is>
          <t>.</t>
        </is>
      </c>
      <c r="N10" t="inlineStr">
        <is>
          <t>.</t>
        </is>
      </c>
      <c r="O10" t="inlineStr">
        <is>
          <t>.</t>
        </is>
      </c>
      <c r="P10" t="n">
        <v>15</v>
      </c>
      <c r="Q10" t="n">
        <v>98</v>
      </c>
      <c r="R10" t="n">
        <v>4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113</v>
      </c>
      <c r="W10" t="n">
        <v>927</v>
      </c>
      <c r="X10" t="n">
        <v>57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6782</v>
      </c>
      <c r="C11" t="inlineStr">
        <is>
          <t>Freeborn Mower Electric Cooperative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IA</t>
        </is>
      </c>
      <c r="H11" t="inlineStr">
        <is>
          <t>Cooperative</t>
        </is>
      </c>
      <c r="I11" t="inlineStr">
        <is>
          <t>MISO</t>
        </is>
      </c>
      <c r="J11" t="n">
        <v>17</v>
      </c>
      <c r="K11" t="n">
        <v>100</v>
      </c>
      <c r="L11" t="n">
        <v>6</v>
      </c>
      <c r="M11" t="inlineStr">
        <is>
          <t>.</t>
        </is>
      </c>
      <c r="N11" t="inlineStr">
        <is>
          <t>.</t>
        </is>
      </c>
      <c r="O11" t="inlineStr">
        <is>
          <t>.</t>
        </is>
      </c>
      <c r="P11" t="inlineStr">
        <is>
          <t>.</t>
        </is>
      </c>
      <c r="Q11" t="inlineStr">
        <is>
          <t>.</t>
        </is>
      </c>
      <c r="R11" t="inlineStr">
        <is>
          <t>.</t>
        </is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17</v>
      </c>
      <c r="W11" t="n">
        <v>100</v>
      </c>
      <c r="X11" t="n">
        <v>6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8319</v>
      </c>
      <c r="C12" t="inlineStr">
        <is>
          <t>Heartland Power Coop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IA</t>
        </is>
      </c>
      <c r="H12" t="inlineStr">
        <is>
          <t>Cooperative</t>
        </is>
      </c>
      <c r="I12" t="inlineStr">
        <is>
          <t>MISO</t>
        </is>
      </c>
      <c r="J12" t="n">
        <v>10111.4</v>
      </c>
      <c r="K12" t="n">
        <v>79791</v>
      </c>
      <c r="L12" t="n">
        <v>4351</v>
      </c>
      <c r="M12" t="n">
        <v>4714.8</v>
      </c>
      <c r="N12" t="n">
        <v>45332</v>
      </c>
      <c r="O12" t="n">
        <v>950</v>
      </c>
      <c r="P12" t="n">
        <v>16048.9</v>
      </c>
      <c r="Q12" t="n">
        <v>239067</v>
      </c>
      <c r="R12" t="n">
        <v>10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30875.1</v>
      </c>
      <c r="W12" t="n">
        <v>364190</v>
      </c>
      <c r="X12" t="n">
        <v>5311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9230</v>
      </c>
      <c r="C13" t="inlineStr">
        <is>
          <t>City of Independence - (IA)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IA</t>
        </is>
      </c>
      <c r="H13" t="inlineStr">
        <is>
          <t>Municipal</t>
        </is>
      </c>
      <c r="I13" t="inlineStr">
        <is>
          <t>MISO</t>
        </is>
      </c>
      <c r="J13" t="n">
        <v>2919.6</v>
      </c>
      <c r="K13" t="n">
        <v>21131</v>
      </c>
      <c r="L13" t="n">
        <v>2719</v>
      </c>
      <c r="M13" t="n">
        <v>3658.5</v>
      </c>
      <c r="N13" t="n">
        <v>37089</v>
      </c>
      <c r="O13" t="n">
        <v>473</v>
      </c>
      <c r="P13" t="n">
        <v>1124.3</v>
      </c>
      <c r="Q13" t="n">
        <v>14770</v>
      </c>
      <c r="R13" t="n">
        <v>1</v>
      </c>
      <c r="S13" t="n">
        <v>0</v>
      </c>
      <c r="T13" t="n">
        <v>0</v>
      </c>
      <c r="U13" t="n">
        <v>0</v>
      </c>
      <c r="V13" t="n">
        <v>7702.4</v>
      </c>
      <c r="W13" t="n">
        <v>72990</v>
      </c>
      <c r="X13" t="n">
        <v>3193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9417</v>
      </c>
      <c r="C14" t="inlineStr">
        <is>
          <t>Interstate Power and Light Co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IA</t>
        </is>
      </c>
      <c r="H14" t="inlineStr">
        <is>
          <t>Investor Owned</t>
        </is>
      </c>
      <c r="I14" t="inlineStr">
        <is>
          <t>MISO</t>
        </is>
      </c>
      <c r="J14" t="n">
        <v>639738</v>
      </c>
      <c r="K14" t="n">
        <v>3573253</v>
      </c>
      <c r="L14" t="n">
        <v>417153</v>
      </c>
      <c r="M14" t="n">
        <v>537537</v>
      </c>
      <c r="N14" t="n">
        <v>4005972</v>
      </c>
      <c r="O14" t="n">
        <v>85663</v>
      </c>
      <c r="P14" t="n">
        <v>497215</v>
      </c>
      <c r="Q14" t="n">
        <v>6072390</v>
      </c>
      <c r="R14" t="n">
        <v>1330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1674490</v>
      </c>
      <c r="W14" t="n">
        <v>13651615</v>
      </c>
      <c r="X14" t="n">
        <v>504146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9425</v>
      </c>
      <c r="C15" t="inlineStr">
        <is>
          <t>Iowa Lakes Electric Coop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IA</t>
        </is>
      </c>
      <c r="H15" t="inlineStr">
        <is>
          <t>Cooperative</t>
        </is>
      </c>
      <c r="I15" t="inlineStr">
        <is>
          <t>SWPP</t>
        </is>
      </c>
      <c r="J15" t="n">
        <v>23197.5</v>
      </c>
      <c r="K15" t="n">
        <v>168339</v>
      </c>
      <c r="L15" t="n">
        <v>9714</v>
      </c>
      <c r="M15" t="n">
        <v>15380.4</v>
      </c>
      <c r="N15" t="n">
        <v>130665</v>
      </c>
      <c r="O15" t="n">
        <v>3414</v>
      </c>
      <c r="P15" t="n">
        <v>23016.6</v>
      </c>
      <c r="Q15" t="n">
        <v>302707</v>
      </c>
      <c r="R15" t="n">
        <v>78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61594.5</v>
      </c>
      <c r="W15" t="n">
        <v>601711</v>
      </c>
      <c r="X15" t="n">
        <v>13206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11053</v>
      </c>
      <c r="C16" t="inlineStr">
        <is>
          <t>Linn County REC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IA</t>
        </is>
      </c>
      <c r="H16" t="inlineStr">
        <is>
          <t>Cooperative</t>
        </is>
      </c>
      <c r="I16" t="inlineStr">
        <is>
          <t>MISO</t>
        </is>
      </c>
      <c r="J16" t="n">
        <v>44026</v>
      </c>
      <c r="K16" t="n">
        <v>309400</v>
      </c>
      <c r="L16" t="n">
        <v>30323</v>
      </c>
      <c r="M16" t="n">
        <v>7950</v>
      </c>
      <c r="N16" t="n">
        <v>57442</v>
      </c>
      <c r="O16" t="n">
        <v>4214</v>
      </c>
      <c r="P16" t="n">
        <v>14648</v>
      </c>
      <c r="Q16" t="n">
        <v>159962</v>
      </c>
      <c r="R16" t="n">
        <v>197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66624</v>
      </c>
      <c r="W16" t="n">
        <v>526804</v>
      </c>
      <c r="X16" t="n">
        <v>34734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11611</v>
      </c>
      <c r="C17" t="inlineStr">
        <is>
          <t>City of Maquoketa - (IA)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IA</t>
        </is>
      </c>
      <c r="H17" t="inlineStr">
        <is>
          <t>Municipal</t>
        </is>
      </c>
      <c r="I17" t="inlineStr">
        <is>
          <t>MISO</t>
        </is>
      </c>
      <c r="J17" t="n">
        <v>3079.1</v>
      </c>
      <c r="K17" t="n">
        <v>23411</v>
      </c>
      <c r="L17" t="n">
        <v>2805</v>
      </c>
      <c r="M17" t="n">
        <v>3441.3</v>
      </c>
      <c r="N17" t="n">
        <v>30453</v>
      </c>
      <c r="O17" t="n">
        <v>609</v>
      </c>
      <c r="P17" t="n">
        <v>1462</v>
      </c>
      <c r="Q17" t="n">
        <v>13518</v>
      </c>
      <c r="R17" t="n">
        <v>2</v>
      </c>
      <c r="S17" t="n">
        <v>0</v>
      </c>
      <c r="T17" t="n">
        <v>0</v>
      </c>
      <c r="U17" t="n">
        <v>0</v>
      </c>
      <c r="V17" t="n">
        <v>7982.4</v>
      </c>
      <c r="W17" t="n">
        <v>67382</v>
      </c>
      <c r="X17" t="n">
        <v>3416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11788</v>
      </c>
      <c r="C18" t="inlineStr">
        <is>
          <t>Consumers Energy Coop - (IA)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IA</t>
        </is>
      </c>
      <c r="H18" t="inlineStr">
        <is>
          <t>Cooperative</t>
        </is>
      </c>
      <c r="I18" t="inlineStr">
        <is>
          <t>MISO</t>
        </is>
      </c>
      <c r="J18" t="n">
        <v>12702</v>
      </c>
      <c r="K18" t="n">
        <v>84659</v>
      </c>
      <c r="L18" t="n">
        <v>6922</v>
      </c>
      <c r="M18" t="n">
        <v>3363</v>
      </c>
      <c r="N18" t="n">
        <v>28559</v>
      </c>
      <c r="O18" t="n">
        <v>619</v>
      </c>
      <c r="P18" t="n">
        <v>6599</v>
      </c>
      <c r="Q18" t="n">
        <v>101506</v>
      </c>
      <c r="R18" t="n">
        <v>19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22664</v>
      </c>
      <c r="W18" t="n">
        <v>214724</v>
      </c>
      <c r="X18" t="n">
        <v>7560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12341</v>
      </c>
      <c r="C19" t="inlineStr">
        <is>
          <t>MidAmerican Energy Co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IA</t>
        </is>
      </c>
      <c r="H19" t="inlineStr">
        <is>
          <t>Investor Owned</t>
        </is>
      </c>
      <c r="I19" t="inlineStr">
        <is>
          <t>MISO</t>
        </is>
      </c>
      <c r="J19" t="n">
        <v>661484.7</v>
      </c>
      <c r="K19" t="n">
        <v>6006862</v>
      </c>
      <c r="L19" t="n">
        <v>632436</v>
      </c>
      <c r="M19" t="n">
        <v>414740.6</v>
      </c>
      <c r="N19" t="n">
        <v>4917627</v>
      </c>
      <c r="O19" t="n">
        <v>104372</v>
      </c>
      <c r="P19" t="n">
        <v>1027827.7</v>
      </c>
      <c r="Q19" t="n">
        <v>16992820</v>
      </c>
      <c r="R19" t="n">
        <v>1527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2104053</v>
      </c>
      <c r="W19" t="n">
        <v>27917309</v>
      </c>
      <c r="X19" t="n">
        <v>738335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12450</v>
      </c>
      <c r="C20" t="inlineStr">
        <is>
          <t>Midland Power Coop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IA</t>
        </is>
      </c>
      <c r="H20" t="inlineStr">
        <is>
          <t>Cooperative</t>
        </is>
      </c>
      <c r="I20" t="inlineStr">
        <is>
          <t>MISO</t>
        </is>
      </c>
      <c r="J20" t="n">
        <v>27419</v>
      </c>
      <c r="K20" t="n">
        <v>201590</v>
      </c>
      <c r="L20" t="n">
        <v>11939</v>
      </c>
      <c r="M20" t="n">
        <v>6828</v>
      </c>
      <c r="N20" t="n">
        <v>60498</v>
      </c>
      <c r="O20" t="n">
        <v>599</v>
      </c>
      <c r="P20" t="n">
        <v>16823</v>
      </c>
      <c r="Q20" t="n">
        <v>238479</v>
      </c>
      <c r="R20" t="n">
        <v>24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51070</v>
      </c>
      <c r="W20" t="n">
        <v>500567</v>
      </c>
      <c r="X20" t="n">
        <v>12562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12642</v>
      </c>
      <c r="C21" t="inlineStr">
        <is>
          <t>Maquoketa Valley Rrl Elec Coop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IA</t>
        </is>
      </c>
      <c r="H21" t="inlineStr">
        <is>
          <t>Cooperative</t>
        </is>
      </c>
      <c r="I21" t="inlineStr">
        <is>
          <t>MISO</t>
        </is>
      </c>
      <c r="J21" t="n">
        <v>19314.4</v>
      </c>
      <c r="K21" t="n">
        <v>140384</v>
      </c>
      <c r="L21" t="n">
        <v>11051</v>
      </c>
      <c r="M21" t="n">
        <v>16355.2</v>
      </c>
      <c r="N21" t="n">
        <v>141949</v>
      </c>
      <c r="O21" t="n">
        <v>6062</v>
      </c>
      <c r="P21" t="n">
        <v>982.4</v>
      </c>
      <c r="Q21" t="n">
        <v>10918</v>
      </c>
      <c r="R21" t="n">
        <v>57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36652</v>
      </c>
      <c r="W21" t="n">
        <v>293251</v>
      </c>
      <c r="X21" t="n">
        <v>17170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13143</v>
      </c>
      <c r="C22" t="inlineStr">
        <is>
          <t>Board of Water Electric &amp; Communications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IA</t>
        </is>
      </c>
      <c r="H22" t="inlineStr">
        <is>
          <t>Municipal</t>
        </is>
      </c>
      <c r="I22" t="inlineStr">
        <is>
          <t>MISO</t>
        </is>
      </c>
      <c r="J22" t="n">
        <v>12394.2</v>
      </c>
      <c r="K22" t="n">
        <v>98119</v>
      </c>
      <c r="L22" t="n">
        <v>10123</v>
      </c>
      <c r="M22" t="n">
        <v>13314</v>
      </c>
      <c r="N22" t="n">
        <v>138754</v>
      </c>
      <c r="O22" t="n">
        <v>1585</v>
      </c>
      <c r="P22" t="n">
        <v>40733.9</v>
      </c>
      <c r="Q22" t="n">
        <v>637771</v>
      </c>
      <c r="R22" t="n">
        <v>16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66442.10000000001</v>
      </c>
      <c r="W22" t="n">
        <v>874644</v>
      </c>
      <c r="X22" t="n">
        <v>11724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15291</v>
      </c>
      <c r="C23" t="inlineStr">
        <is>
          <t>Prairie Energy Coop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IA</t>
        </is>
      </c>
      <c r="H23" t="inlineStr">
        <is>
          <t>Cooperative</t>
        </is>
      </c>
      <c r="I23" t="inlineStr">
        <is>
          <t>SWPP</t>
        </is>
      </c>
      <c r="J23" t="n">
        <v>7568.9</v>
      </c>
      <c r="K23" t="n">
        <v>52787</v>
      </c>
      <c r="L23" t="n">
        <v>3440</v>
      </c>
      <c r="M23" t="n">
        <v>15.1</v>
      </c>
      <c r="N23" t="n">
        <v>124</v>
      </c>
      <c r="O23" t="n">
        <v>89</v>
      </c>
      <c r="P23" t="n">
        <v>23838.7</v>
      </c>
      <c r="Q23" t="n">
        <v>275987</v>
      </c>
      <c r="R23" t="n">
        <v>788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31422.7</v>
      </c>
      <c r="W23" t="n">
        <v>328898</v>
      </c>
      <c r="X23" t="n">
        <v>4317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15349</v>
      </c>
      <c r="C24" t="inlineStr">
        <is>
          <t>City of Preston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IA</t>
        </is>
      </c>
      <c r="H24" t="inlineStr">
        <is>
          <t>Municipal</t>
        </is>
      </c>
      <c r="I24" t="inlineStr">
        <is>
          <t>MISO</t>
        </is>
      </c>
      <c r="J24" t="n">
        <v>577.1</v>
      </c>
      <c r="K24" t="n">
        <v>3749</v>
      </c>
      <c r="L24" t="n">
        <v>521</v>
      </c>
      <c r="M24" t="n">
        <v>393.3</v>
      </c>
      <c r="N24" t="n">
        <v>3390</v>
      </c>
      <c r="O24" t="n">
        <v>101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970.4</v>
      </c>
      <c r="W24" t="n">
        <v>7139</v>
      </c>
      <c r="X24" t="n">
        <v>622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16611</v>
      </c>
      <c r="C25" t="inlineStr">
        <is>
          <t>Access Energy Coop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IA</t>
        </is>
      </c>
      <c r="H25" t="inlineStr">
        <is>
          <t>Cooperative</t>
        </is>
      </c>
      <c r="I25" t="inlineStr">
        <is>
          <t>AECI</t>
        </is>
      </c>
      <c r="J25" t="n">
        <v>16832.6</v>
      </c>
      <c r="K25" t="n">
        <v>112566</v>
      </c>
      <c r="L25" t="n">
        <v>8850</v>
      </c>
      <c r="M25" t="n">
        <v>3279.8</v>
      </c>
      <c r="N25" t="n">
        <v>26156</v>
      </c>
      <c r="O25" t="n">
        <v>191</v>
      </c>
      <c r="P25" t="n">
        <v>19476.3</v>
      </c>
      <c r="Q25" t="n">
        <v>283550</v>
      </c>
      <c r="R25" t="n">
        <v>26</v>
      </c>
      <c r="S25" t="n">
        <v>0</v>
      </c>
      <c r="T25" t="n">
        <v>0</v>
      </c>
      <c r="U25" t="n">
        <v>0</v>
      </c>
      <c r="V25" t="n">
        <v>39588.7</v>
      </c>
      <c r="W25" t="n">
        <v>422272</v>
      </c>
      <c r="X25" t="n">
        <v>9067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17260</v>
      </c>
      <c r="C26" t="inlineStr">
        <is>
          <t>North West Rural Electric Coop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IA</t>
        </is>
      </c>
      <c r="H26" t="inlineStr">
        <is>
          <t>Cooperative</t>
        </is>
      </c>
      <c r="I26" t="inlineStr">
        <is>
          <t>SWPP</t>
        </is>
      </c>
      <c r="J26" t="n">
        <v>22965.9</v>
      </c>
      <c r="K26" t="n">
        <v>247896</v>
      </c>
      <c r="L26" t="n">
        <v>9400</v>
      </c>
      <c r="M26" t="n">
        <v>34250.6</v>
      </c>
      <c r="N26" t="n">
        <v>503569</v>
      </c>
      <c r="O26" t="n">
        <v>926</v>
      </c>
      <c r="P26" t="n">
        <v>555.1</v>
      </c>
      <c r="Q26" t="n">
        <v>6420</v>
      </c>
      <c r="R26" t="n">
        <v>62</v>
      </c>
      <c r="S26" t="n">
        <v>0</v>
      </c>
      <c r="T26" t="n">
        <v>0</v>
      </c>
      <c r="U26" t="n">
        <v>0</v>
      </c>
      <c r="V26" t="n">
        <v>57771.6</v>
      </c>
      <c r="W26" t="n">
        <v>757885</v>
      </c>
      <c r="X26" t="n">
        <v>10388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19157</v>
      </c>
      <c r="C27" t="inlineStr">
        <is>
          <t>MiEnergy Cooperative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IA</t>
        </is>
      </c>
      <c r="H27" t="inlineStr">
        <is>
          <t>Cooperative</t>
        </is>
      </c>
      <c r="I27" t="inlineStr">
        <is>
          <t>MISO</t>
        </is>
      </c>
      <c r="J27" t="n">
        <v>11892.9</v>
      </c>
      <c r="K27" t="n">
        <v>70345</v>
      </c>
      <c r="L27" t="n">
        <v>6006</v>
      </c>
      <c r="M27" t="n">
        <v>9803.200000000001</v>
      </c>
      <c r="N27" t="n">
        <v>84357</v>
      </c>
      <c r="O27" t="n">
        <v>1249</v>
      </c>
      <c r="P27" t="n">
        <v>7476</v>
      </c>
      <c r="Q27" t="n">
        <v>93804</v>
      </c>
      <c r="R27" t="n">
        <v>6</v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29172.1</v>
      </c>
      <c r="W27" t="n">
        <v>248506</v>
      </c>
      <c r="X27" t="n">
        <v>7261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99999</v>
      </c>
      <c r="C28" t="inlineStr">
        <is>
          <t>Adjustment 2024</t>
        </is>
      </c>
      <c r="D28" t="inlineStr">
        <is>
          <t>A</t>
        </is>
      </c>
      <c r="E28" t="inlineStr">
        <is>
          <t>Bundled</t>
        </is>
      </c>
      <c r="F28" t="inlineStr">
        <is>
          <t>I</t>
        </is>
      </c>
      <c r="G28" t="inlineStr">
        <is>
          <t>IA</t>
        </is>
      </c>
      <c r="H28" t="inlineStr"/>
      <c r="I28" t="inlineStr">
        <is>
          <t>AECI</t>
        </is>
      </c>
      <c r="J28" t="n">
        <v>23180.3</v>
      </c>
      <c r="K28" t="n">
        <v>138061</v>
      </c>
      <c r="L28" t="n">
        <v>12681</v>
      </c>
      <c r="M28" t="n">
        <v>6920.2</v>
      </c>
      <c r="N28" t="n">
        <v>58139</v>
      </c>
      <c r="O28" t="n">
        <v>1733</v>
      </c>
      <c r="P28" t="n">
        <v>2038.6</v>
      </c>
      <c r="Q28" t="n">
        <v>18607</v>
      </c>
      <c r="R28" t="n">
        <v>47</v>
      </c>
      <c r="S28" t="n">
        <v>0</v>
      </c>
      <c r="T28" t="n">
        <v>0</v>
      </c>
      <c r="U28" t="n">
        <v>0</v>
      </c>
      <c r="V28" t="n">
        <v>32139.1</v>
      </c>
      <c r="W28" t="n">
        <v>214807</v>
      </c>
      <c r="X28" t="n">
        <v>14461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99999</v>
      </c>
      <c r="C29" t="inlineStr">
        <is>
          <t>Adjustment 2024</t>
        </is>
      </c>
      <c r="D29" t="inlineStr">
        <is>
          <t>A</t>
        </is>
      </c>
      <c r="E29" t="inlineStr">
        <is>
          <t>Bundled</t>
        </is>
      </c>
      <c r="F29" t="inlineStr">
        <is>
          <t>I</t>
        </is>
      </c>
      <c r="G29" t="inlineStr">
        <is>
          <t>IA</t>
        </is>
      </c>
      <c r="H29" t="inlineStr"/>
      <c r="I29" t="inlineStr">
        <is>
          <t>MISO</t>
        </is>
      </c>
      <c r="J29" t="n">
        <v>223484</v>
      </c>
      <c r="K29" t="n">
        <v>1657590</v>
      </c>
      <c r="L29" t="n">
        <v>159287</v>
      </c>
      <c r="M29" t="n">
        <v>122756.5</v>
      </c>
      <c r="N29" t="n">
        <v>1194399</v>
      </c>
      <c r="O29" t="n">
        <v>23756</v>
      </c>
      <c r="P29" t="n">
        <v>84731.89999999999</v>
      </c>
      <c r="Q29" t="n">
        <v>974663</v>
      </c>
      <c r="R29" t="n">
        <v>1173</v>
      </c>
      <c r="S29" t="n">
        <v>0</v>
      </c>
      <c r="T29" t="n">
        <v>0</v>
      </c>
      <c r="U29" t="n">
        <v>0</v>
      </c>
      <c r="V29" t="n">
        <v>430972.4</v>
      </c>
      <c r="W29" t="n">
        <v>3826652</v>
      </c>
      <c r="X29" t="n">
        <v>184216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99999</v>
      </c>
      <c r="C30" t="inlineStr">
        <is>
          <t>Adjustment 2024</t>
        </is>
      </c>
      <c r="D30" t="inlineStr">
        <is>
          <t>A</t>
        </is>
      </c>
      <c r="E30" t="inlineStr">
        <is>
          <t>Bundled</t>
        </is>
      </c>
      <c r="F30" t="inlineStr">
        <is>
          <t>I</t>
        </is>
      </c>
      <c r="G30" t="inlineStr">
        <is>
          <t>IA</t>
        </is>
      </c>
      <c r="H30" t="inlineStr"/>
      <c r="I30" t="inlineStr">
        <is>
          <t>SWPP</t>
        </is>
      </c>
      <c r="J30" t="n">
        <v>73068.7</v>
      </c>
      <c r="K30" t="n">
        <v>667592</v>
      </c>
      <c r="L30" t="n">
        <v>33563</v>
      </c>
      <c r="M30" t="n">
        <v>31379.5</v>
      </c>
      <c r="N30" t="n">
        <v>378809</v>
      </c>
      <c r="O30" t="n">
        <v>4421</v>
      </c>
      <c r="P30" t="n">
        <v>37542</v>
      </c>
      <c r="Q30" t="n">
        <v>491907</v>
      </c>
      <c r="R30" t="n">
        <v>2628</v>
      </c>
      <c r="S30" t="n">
        <v>0</v>
      </c>
      <c r="T30" t="n">
        <v>0</v>
      </c>
      <c r="U30" t="n">
        <v>0</v>
      </c>
      <c r="V30" t="n">
        <v>141990.2</v>
      </c>
      <c r="W30" t="n">
        <v>1538308</v>
      </c>
      <c r="X30" t="n">
        <v>40612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IA</t>
        </is>
      </c>
      <c r="B2">
        <f>SUMIFS('EIA-861 Sales 2024'!$Y$4:$Y$30,'EIA-861 Sales 2024'!$Z$4:$Z$30,"cost_service")</f>
        <v/>
      </c>
      <c r="C2">
        <f>SUMIFS('EIA-861 Sales 2024'!$Y$4:$Y$30,'EIA-861 Sales 2024'!$Z$4:$Z$30,"procurement")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2026-06-02T20:15:28Z</dcterms:created>
  <dcterms:modified xmlns:dcterms="http://purl.org/dc/terms/" xmlns:xsi="http://www.w3.org/2001/XMLSchema-instance" xsi:type="dcterms:W3CDTF">2026-06-02T20:15:28Z</dcterms:modified>
</cp:coreProperties>
</file>