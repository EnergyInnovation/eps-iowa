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BTC\"/>
    </mc:Choice>
  </mc:AlternateContent>
  <xr:revisionPtr revIDLastSave="0" documentId="13_ncr:1_{B2E694EA-0FC4-4993-B6F1-E71A9CF0FF62}" xr6:coauthVersionLast="47" xr6:coauthVersionMax="47" xr10:uidLastSave="{00000000-0000-0000-0000-000000000000}"/>
  <bookViews>
    <workbookView xWindow="780" yWindow="780" windowWidth="21600" windowHeight="12645" xr2:uid="{00000000-000D-0000-FFFF-FFFF00000000}"/>
  </bookViews>
  <sheets>
    <sheet name="About" sheetId="1" r:id="rId1"/>
    <sheet name="Data" sheetId="2" r:id="rId2"/>
    <sheet name="IIJA" sheetId="3" r:id="rId3"/>
    <sheet name="BT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B1" i="3"/>
  <c r="B4" i="3" s="1"/>
  <c r="B29" i="2"/>
  <c r="A32" i="2" s="1"/>
  <c r="B18" i="2"/>
  <c r="B12" i="2"/>
  <c r="B11" i="2"/>
  <c r="B13" i="2" s="1"/>
  <c r="B2" i="4" l="1"/>
  <c r="B21" i="2"/>
  <c r="B22" i="2"/>
  <c r="D10" i="3"/>
  <c r="E10" i="3" s="1"/>
  <c r="F10" i="3" s="1"/>
  <c r="G10" i="3" s="1"/>
  <c r="H10" i="3" s="1"/>
  <c r="I10" i="3" s="1"/>
  <c r="J10" i="3" s="1"/>
  <c r="K10" i="3" s="1"/>
  <c r="L10" i="3" s="1"/>
  <c r="AE10" i="3" l="1"/>
  <c r="W10" i="3"/>
  <c r="O10" i="3"/>
  <c r="AD10" i="3"/>
  <c r="V10" i="3"/>
  <c r="N10" i="3"/>
  <c r="AC10" i="3"/>
  <c r="U10" i="3"/>
  <c r="M10" i="3"/>
  <c r="AB10" i="3"/>
  <c r="T10" i="3"/>
  <c r="AA10" i="3"/>
  <c r="S10" i="3"/>
  <c r="Z10" i="3"/>
  <c r="R10" i="3"/>
  <c r="Y10" i="3"/>
  <c r="Q10" i="3"/>
  <c r="AF10" i="3"/>
  <c r="X10" i="3"/>
  <c r="P10" i="3"/>
  <c r="AO25" i="2" a="1"/>
  <c r="AO25" i="2" s="1"/>
  <c r="AE32" i="2" s="1"/>
  <c r="AF2" i="4" s="1"/>
  <c r="AK25" i="2" a="1"/>
  <c r="AK25" i="2" s="1"/>
  <c r="AG25" i="2" a="1"/>
  <c r="AG25" i="2" s="1"/>
  <c r="AC25" i="2" a="1"/>
  <c r="AC25" i="2" s="1"/>
  <c r="Y25" i="2" a="1"/>
  <c r="Y25" i="2" s="1"/>
  <c r="U25" i="2" a="1"/>
  <c r="U25" i="2" s="1"/>
  <c r="Q25" i="2" a="1"/>
  <c r="Q25" i="2" s="1"/>
  <c r="M25" i="2" a="1"/>
  <c r="M25" i="2" s="1"/>
  <c r="C32" i="2" s="1"/>
  <c r="D2" i="4" s="1"/>
  <c r="I25" i="2" a="1"/>
  <c r="I25" i="2" s="1"/>
  <c r="E25" i="2" a="1"/>
  <c r="E25" i="2" s="1"/>
  <c r="A25" i="2" a="1"/>
  <c r="A25" i="2" s="1"/>
  <c r="AF25" i="2" a="1"/>
  <c r="AF25" i="2" s="1"/>
  <c r="AB25" i="2" a="1"/>
  <c r="AB25" i="2" s="1"/>
  <c r="X25" i="2" a="1"/>
  <c r="X25" i="2" s="1"/>
  <c r="T25" i="2" a="1"/>
  <c r="T25" i="2" s="1"/>
  <c r="L25" i="2" a="1"/>
  <c r="L25" i="2" s="1"/>
  <c r="G25" i="2" a="1"/>
  <c r="G25" i="2" s="1"/>
  <c r="AN25" i="2" a="1"/>
  <c r="AN25" i="2" s="1"/>
  <c r="AD32" i="2" s="1"/>
  <c r="AE2" i="4" s="1"/>
  <c r="AJ25" i="2" a="1"/>
  <c r="AJ25" i="2" s="1"/>
  <c r="AI25" i="2" a="1"/>
  <c r="AI25" i="2" s="1"/>
  <c r="AM25" i="2" a="1"/>
  <c r="AM25" i="2" s="1"/>
  <c r="AE25" i="2" a="1"/>
  <c r="AE25" i="2" s="1"/>
  <c r="AA25" i="2" a="1"/>
  <c r="AA25" i="2" s="1"/>
  <c r="W25" i="2" a="1"/>
  <c r="W25" i="2" s="1"/>
  <c r="S25" i="2" a="1"/>
  <c r="S25" i="2" s="1"/>
  <c r="K25" i="2" a="1"/>
  <c r="K25" i="2" s="1"/>
  <c r="AL25" i="2" a="1"/>
  <c r="AL25" i="2" s="1"/>
  <c r="AD25" i="2" a="1"/>
  <c r="AD25" i="2" s="1"/>
  <c r="Z25" i="2" a="1"/>
  <c r="Z25" i="2" s="1"/>
  <c r="V25" i="2" a="1"/>
  <c r="V25" i="2" s="1"/>
  <c r="R25" i="2" a="1"/>
  <c r="R25" i="2" s="1"/>
  <c r="N25" i="2" a="1"/>
  <c r="N25" i="2" s="1"/>
  <c r="J25" i="2" a="1"/>
  <c r="J25" i="2" s="1"/>
  <c r="F25" i="2" a="1"/>
  <c r="F25" i="2" s="1"/>
  <c r="B25" i="2" a="1"/>
  <c r="B25" i="2" s="1"/>
  <c r="H25" i="2" a="1"/>
  <c r="H25" i="2" s="1"/>
  <c r="O25" i="2" a="1"/>
  <c r="O25" i="2" s="1"/>
  <c r="AH25" i="2" a="1"/>
  <c r="AH25" i="2" s="1"/>
  <c r="P25" i="2" a="1"/>
  <c r="P25" i="2" s="1"/>
  <c r="C25" i="2" a="1"/>
  <c r="C25" i="2" s="1"/>
  <c r="D25" i="2" a="1"/>
  <c r="D25" i="2" s="1"/>
  <c r="M32" i="2" l="1"/>
  <c r="N2" i="4" s="1"/>
  <c r="Q32" i="2"/>
  <c r="R2" i="4" s="1"/>
  <c r="T32" i="2"/>
  <c r="U2" i="4" s="1"/>
  <c r="Y32" i="2"/>
  <c r="Z2" i="4" s="1"/>
  <c r="V32" i="2"/>
  <c r="W2" i="4" s="1"/>
  <c r="S32" i="2"/>
  <c r="T2" i="4" s="1"/>
  <c r="I32" i="2"/>
  <c r="J2" i="4" s="1"/>
  <c r="H32" i="2"/>
  <c r="I2" i="4" s="1"/>
  <c r="AB32" i="2"/>
  <c r="AC2" i="4" s="1"/>
  <c r="Z32" i="2"/>
  <c r="AA2" i="4" s="1"/>
  <c r="W32" i="2"/>
  <c r="X2" i="4" s="1"/>
  <c r="AA32" i="2"/>
  <c r="AB2" i="4" s="1"/>
  <c r="G32" i="2"/>
  <c r="H2" i="4" s="1"/>
  <c r="B32" i="2"/>
  <c r="C2" i="4" s="1"/>
  <c r="J32" i="2"/>
  <c r="K2" i="4" s="1"/>
  <c r="X32" i="2"/>
  <c r="Y2" i="4" s="1"/>
  <c r="L32" i="2"/>
  <c r="M2" i="4" s="1"/>
  <c r="U32" i="2"/>
  <c r="V2" i="4" s="1"/>
  <c r="N32" i="2"/>
  <c r="O2" i="4" s="1"/>
  <c r="K32" i="2"/>
  <c r="L2" i="4" s="1"/>
  <c r="D32" i="2"/>
  <c r="E2" i="4" s="1"/>
  <c r="F32" i="2"/>
  <c r="G2" i="4" s="1"/>
  <c r="E32" i="2"/>
  <c r="F2" i="4" s="1"/>
  <c r="P32" i="2"/>
  <c r="Q2" i="4" s="1"/>
  <c r="AC32" i="2"/>
  <c r="AD2" i="4" s="1"/>
  <c r="R32" i="2"/>
  <c r="S2" i="4" s="1"/>
  <c r="O32" i="2"/>
  <c r="P2" i="4" s="1"/>
</calcChain>
</file>

<file path=xl/sharedStrings.xml><?xml version="1.0" encoding="utf-8"?>
<sst xmlns="http://schemas.openxmlformats.org/spreadsheetml/2006/main" count="44" uniqueCount="40">
  <si>
    <t>BTC BAU Transmission Capacity</t>
  </si>
  <si>
    <t>Iowa</t>
  </si>
  <si>
    <t>Source:</t>
  </si>
  <si>
    <t>Current Value and Infrastructure Investment and Jobs Act Effects</t>
  </si>
  <si>
    <t>Americans for a Clean Energy Grid and Grid Strategies</t>
  </si>
  <si>
    <t>Transmission Projects Ready to Go: Plugging Into America's Untapped Renewable Resources</t>
  </si>
  <si>
    <t>https://cleanenergygrid.org/wp-content/uploads/2019/04/Transmission-Projects-Ready-to-Go-Final.pdf</t>
  </si>
  <si>
    <t>Page 4</t>
  </si>
  <si>
    <t>Scaling</t>
  </si>
  <si>
    <t>National Renewable Energy Laboratory</t>
  </si>
  <si>
    <t>Renewable Energy Futures Study: Volume 1</t>
  </si>
  <si>
    <t>http://www.nrel.gov/docs/fy12osti/52409-1.pdf</t>
  </si>
  <si>
    <t>Page 3-14, Figure 3-8</t>
  </si>
  <si>
    <t>Transmission Growth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</si>
  <si>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</si>
  <si>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</si>
  <si>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</si>
  <si>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</si>
  <si>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</si>
  <si>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</si>
  <si>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</si>
  <si>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</si>
  <si>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</si>
  <si>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</si>
  <si>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</si>
  <si>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</si>
  <si>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</si>
  <si>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</si>
  <si>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</si>
  <si>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</si>
  <si>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Indexed to 2020</t>
  </si>
  <si>
    <t>2021 Transmission Value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</si>
  <si>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</si>
  <si>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</si>
  <si>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</si>
  <si>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</si>
  <si>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</si>
  <si>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</si>
  <si>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</si>
  <si>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BAU Transmission Capacity (MW-miles)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</si>
</sst>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3" fillId="0" borderId="0"/>
  </cellStyleXfs>
  <cellXfs count="10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rel.gov/docs/fy12osti/52409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8" sqref="B8"/>
    </sheetView>
  </sheetViews>
  <sheetFormatPr defaultRowHeight="15" x14ac:dyDescent="0.25"/>
  <cols>
    <col min="2" max="2" width="42.5703125" customWidth="1"/>
  </cols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s="4" t="s">
        <v>3</v>
      </c>
    </row>
    <row r="4" spans="1:2" ht="29.1" customHeight="1" x14ac:dyDescent="0.25">
      <c r="B4" s="5" t="s">
        <v>4</v>
      </c>
    </row>
    <row r="5" spans="1:2" x14ac:dyDescent="0.25">
      <c r="B5" s="6">
        <v>2021</v>
      </c>
    </row>
    <row r="6" spans="1:2" ht="29.1" customHeight="1" x14ac:dyDescent="0.25">
      <c r="B6" s="5" t="s">
        <v>5</v>
      </c>
    </row>
    <row r="7" spans="1:2" ht="45" x14ac:dyDescent="0.25">
      <c r="B7" s="7" t="s">
        <v>6</v>
      </c>
    </row>
    <row r="8" spans="1:2" x14ac:dyDescent="0.25">
      <c r="B8" s="5" t="s">
        <v>7</v>
      </c>
    </row>
    <row r="9" spans="1:2" x14ac:dyDescent="0.25">
      <c r="B9" s="5"/>
    </row>
    <row r="10" spans="1:2" x14ac:dyDescent="0.25">
      <c r="B10" s="8" t="s">
        <v>8</v>
      </c>
    </row>
    <row r="11" spans="1:2" x14ac:dyDescent="0.25">
      <c r="B11" s="5" t="s">
        <v>9</v>
      </c>
    </row>
    <row r="12" spans="1:2" x14ac:dyDescent="0.25">
      <c r="B12" s="6">
        <v>2012</v>
      </c>
    </row>
    <row r="13" spans="1:2" x14ac:dyDescent="0.25">
      <c r="B13" s="5" t="s">
        <v>10</v>
      </c>
    </row>
    <row r="14" spans="1:2" ht="30" x14ac:dyDescent="0.25">
      <c r="B14" s="7" t="s">
        <v>11</v>
      </c>
    </row>
    <row r="15" spans="1:2" x14ac:dyDescent="0.25">
      <c r="B15" s="5" t="s">
        <v>12</v>
      </c>
    </row>
    <row r="16" spans="1:2" x14ac:dyDescent="0.25">
      <c r="B16" s="5"/>
    </row>
  </sheetData>
  <hyperlinks>
    <hyperlink ref="B14" r:id="rId1" xr:uid="{00000000-0004-0000-0000-000000000000}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5" x14ac:dyDescent="0.25"/>
  <cols>
    <col min="1" max="1" width="36.42578125" customWidth="1"/>
    <col min="2" max="2" width="10.42578125" bestFit="1" customWidth="1"/>
  </cols>
  <sheetData>
    <row r="1" spans="1:3" x14ac:dyDescent="0.25">
      <c r="A1" s="1" t="s">
        <v>13</v>
      </c>
    </row>
    <row r="2" spans="1:3" x14ac:dyDescent="0.25">
      <c r="A2" t="s">
        <v>14</v>
      </c>
    </row>
    <row r="3" spans="1:3" x14ac:dyDescent="0.25">
      <c r="A3" t="s">
        <v>15</v>
      </c>
    </row>
    <row r="4" spans="1:3" x14ac:dyDescent="0.25">
      <c r="A4" t="s">
        <v>16</v>
      </c>
    </row>
    <row r="5" spans="1:3" x14ac:dyDescent="0.25">
      <c r="A5" t="s">
        <v>17</v>
      </c>
    </row>
    <row r="6" spans="1:3" x14ac:dyDescent="0.25">
      <c r="A6" t="s">
        <v>18</v>
      </c>
    </row>
    <row r="8" spans="1:3" x14ac:dyDescent="0.25">
      <c r="A8" t="s">
        <v>19</v>
      </c>
    </row>
    <row r="9" spans="1:3" x14ac:dyDescent="0.25">
      <c r="A9" t="s">
        <v>20</v>
      </c>
    </row>
    <row r="11" spans="1:3" x14ac:dyDescent="0.25">
      <c r="A11" t="s">
        <v>21</v>
      </c>
      <c r="B11" s="2">
        <f>150*10^6</f>
        <v>150000000</v>
      </c>
      <c r="C11" t="s">
        <v>22</v>
      </c>
    </row>
    <row r="12" spans="1:3" x14ac:dyDescent="0.25">
      <c r="A12" t="s">
        <v>23</v>
      </c>
      <c r="B12" s="2">
        <f>200*10^6</f>
        <v>200000000</v>
      </c>
      <c r="C12" t="s">
        <v>22</v>
      </c>
    </row>
    <row r="13" spans="1:3" x14ac:dyDescent="0.25">
      <c r="A13" t="s">
        <v>24</v>
      </c>
      <c r="B13" s="2">
        <f>AVERAGE(B11:B12)</f>
        <v>175000000</v>
      </c>
      <c r="C13" t="s">
        <v>22</v>
      </c>
    </row>
    <row r="15" spans="1:3" x14ac:dyDescent="0.25">
      <c r="A15" t="s">
        <v>25</v>
      </c>
    </row>
    <row r="16" spans="1:3" x14ac:dyDescent="0.25">
      <c r="A16" t="s">
        <v>26</v>
      </c>
      <c r="B16">
        <v>141</v>
      </c>
      <c r="C16" t="s">
        <v>27</v>
      </c>
    </row>
    <row r="17" spans="1:41" x14ac:dyDescent="0.25">
      <c r="A17" t="s">
        <v>28</v>
      </c>
      <c r="B17">
        <v>15</v>
      </c>
      <c r="C17" t="s">
        <v>27</v>
      </c>
    </row>
    <row r="18" spans="1:41" x14ac:dyDescent="0.25">
      <c r="A18" t="s">
        <v>29</v>
      </c>
      <c r="B18" s="2">
        <f>B17/B16*50*10^6</f>
        <v>5319148.9361702129</v>
      </c>
      <c r="C18" t="s">
        <v>22</v>
      </c>
    </row>
    <row r="21" spans="1:41" x14ac:dyDescent="0.25">
      <c r="A21">
        <v>2010</v>
      </c>
      <c r="B21" s="2">
        <f>B13</f>
        <v>175000000</v>
      </c>
    </row>
    <row r="22" spans="1:41" x14ac:dyDescent="0.25">
      <c r="A22">
        <v>2050</v>
      </c>
      <c r="B22" s="2">
        <f>B13+B18</f>
        <v>180319148.93617022</v>
      </c>
    </row>
    <row r="24" spans="1:41" x14ac:dyDescent="0.2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25">
      <c r="A25" s="2">
        <f t="array" ref="A25">TREND($B$21:$B$22,$A$21:$A$22,A24)</f>
        <v>175000000</v>
      </c>
      <c r="B25" s="2">
        <f t="array" ref="B25">TREND($B$21:$B$22,$A$21:$A$22,B24)</f>
        <v>175132978.72340426</v>
      </c>
      <c r="C25" s="2">
        <f t="array" ref="C25">TREND($B$21:$B$22,$A$21:$A$22,C24)</f>
        <v>175265957.44680852</v>
      </c>
      <c r="D25" s="2">
        <f t="array" ref="D25">TREND($B$21:$B$22,$A$21:$A$22,D24)</f>
        <v>175398936.17021278</v>
      </c>
      <c r="E25" s="2">
        <f t="array" ref="E25">TREND($B$21:$B$22,$A$21:$A$22,E24)</f>
        <v>175531914.893617</v>
      </c>
      <c r="F25" s="2">
        <f t="array" ref="F25">TREND($B$21:$B$22,$A$21:$A$22,F24)</f>
        <v>175664893.61702126</v>
      </c>
      <c r="G25" s="2">
        <f t="array" ref="G25">TREND($B$21:$B$22,$A$21:$A$22,G24)</f>
        <v>175797872.34042552</v>
      </c>
      <c r="H25" s="2">
        <f t="array" ref="H25">TREND($B$21:$B$22,$A$21:$A$22,H24)</f>
        <v>175930851.06382978</v>
      </c>
      <c r="I25" s="2">
        <f t="array" ref="I25">TREND($B$21:$B$22,$A$21:$A$22,I24)</f>
        <v>176063829.78723404</v>
      </c>
      <c r="J25" s="2">
        <f t="array" ref="J25">TREND($B$21:$B$22,$A$21:$A$22,J24)</f>
        <v>176196808.5106383</v>
      </c>
      <c r="K25" s="2">
        <f t="array" ref="K25">TREND($B$21:$B$22,$A$21:$A$22,K24)</f>
        <v>176329787.23404253</v>
      </c>
      <c r="L25" s="2">
        <f t="array" ref="L25">TREND($B$21:$B$22,$A$21:$A$22,L24)</f>
        <v>176462765.95744681</v>
      </c>
      <c r="M25" s="2">
        <f t="array" ref="M25">TREND($B$21:$B$22,$A$21:$A$22,M24)</f>
        <v>176595744.68085104</v>
      </c>
      <c r="N25" s="2">
        <f t="array" ref="N25">TREND($B$21:$B$22,$A$21:$A$22,N24)</f>
        <v>176728723.40425533</v>
      </c>
      <c r="O25" s="2">
        <f t="array" ref="O25">TREND($B$21:$B$22,$A$21:$A$22,O24)</f>
        <v>176861702.12765956</v>
      </c>
      <c r="P25" s="2">
        <f t="array" ref="P25">TREND($B$21:$B$22,$A$21:$A$22,P24)</f>
        <v>176994680.85106385</v>
      </c>
      <c r="Q25" s="2">
        <f t="array" ref="Q25">TREND($B$21:$B$22,$A$21:$A$22,Q24)</f>
        <v>177127659.57446808</v>
      </c>
      <c r="R25" s="2">
        <f t="array" ref="R25">TREND($B$21:$B$22,$A$21:$A$22,R24)</f>
        <v>177260638.29787236</v>
      </c>
      <c r="S25" s="2">
        <f t="array" ref="S25">TREND($B$21:$B$22,$A$21:$A$22,S24)</f>
        <v>177393617.02127659</v>
      </c>
      <c r="T25" s="2">
        <f t="array" ref="T25">TREND($B$21:$B$22,$A$21:$A$22,T24)</f>
        <v>177526595.74468082</v>
      </c>
      <c r="U25" s="2">
        <f t="array" ref="U25">TREND($B$21:$B$22,$A$21:$A$22,U24)</f>
        <v>177659574.46808511</v>
      </c>
      <c r="V25" s="2">
        <f t="array" ref="V25">TREND($B$21:$B$22,$A$21:$A$22,V24)</f>
        <v>177792553.19148934</v>
      </c>
      <c r="W25" s="2">
        <f t="array" ref="W25">TREND($B$21:$B$22,$A$21:$A$22,W24)</f>
        <v>177925531.91489363</v>
      </c>
      <c r="X25" s="2">
        <f t="array" ref="X25">TREND($B$21:$B$22,$A$21:$A$22,X24)</f>
        <v>178058510.63829786</v>
      </c>
      <c r="Y25" s="2">
        <f t="array" ref="Y25">TREND($B$21:$B$22,$A$21:$A$22,Y24)</f>
        <v>178191489.36170214</v>
      </c>
      <c r="Z25" s="2">
        <f t="array" ref="Z25">TREND($B$21:$B$22,$A$21:$A$22,Z24)</f>
        <v>178324468.08510637</v>
      </c>
      <c r="AA25" s="2">
        <f t="array" ref="AA25">TREND($B$21:$B$22,$A$21:$A$22,AA24)</f>
        <v>178457446.80851066</v>
      </c>
      <c r="AB25" s="2">
        <f t="array" ref="AB25">TREND($B$21:$B$22,$A$21:$A$22,AB24)</f>
        <v>178590425.53191489</v>
      </c>
      <c r="AC25" s="2">
        <f t="array" ref="AC25">TREND($B$21:$B$22,$A$21:$A$22,AC24)</f>
        <v>178723404.25531918</v>
      </c>
      <c r="AD25" s="2">
        <f t="array" ref="AD25">TREND($B$21:$B$22,$A$21:$A$22,AD24)</f>
        <v>178856382.97872341</v>
      </c>
      <c r="AE25" s="2">
        <f t="array" ref="AE25">TREND($B$21:$B$22,$A$21:$A$22,AE24)</f>
        <v>178989361.70212764</v>
      </c>
      <c r="AF25" s="2">
        <f t="array" ref="AF25">TREND($B$21:$B$22,$A$21:$A$22,AF24)</f>
        <v>179122340.42553192</v>
      </c>
      <c r="AG25" s="2">
        <f t="array" ref="AG25">TREND($B$21:$B$22,$A$21:$A$22,AG24)</f>
        <v>179255319.14893615</v>
      </c>
      <c r="AH25" s="2">
        <f t="array" ref="AH25">TREND($B$21:$B$22,$A$21:$A$22,AH24)</f>
        <v>179388297.87234044</v>
      </c>
      <c r="AI25" s="2">
        <f t="array" ref="AI25">TREND($B$21:$B$22,$A$21:$A$22,AI24)</f>
        <v>179521276.59574467</v>
      </c>
      <c r="AJ25" s="2">
        <f t="array" ref="AJ25">TREND($B$21:$B$22,$A$21:$A$22,AJ24)</f>
        <v>179654255.31914896</v>
      </c>
      <c r="AK25" s="2">
        <f t="array" ref="AK25">TREND($B$21:$B$22,$A$21:$A$22,AK24)</f>
        <v>179787234.04255319</v>
      </c>
      <c r="AL25" s="2">
        <f t="array" ref="AL25">TREND($B$21:$B$22,$A$21:$A$22,AL24)</f>
        <v>179920212.76595747</v>
      </c>
      <c r="AM25" s="2">
        <f t="array" ref="AM25">TREND($B$21:$B$22,$A$21:$A$22,AM24)</f>
        <v>180053191.4893617</v>
      </c>
      <c r="AN25" s="2">
        <f t="array" ref="AN25">TREND($B$21:$B$22,$A$21:$A$22,AN24)</f>
        <v>180186170.21276593</v>
      </c>
      <c r="AO25" s="2">
        <f t="array" ref="AO25">TREND($B$21:$B$22,$A$21:$A$22,AO24)</f>
        <v>180319148.93617022</v>
      </c>
    </row>
    <row r="27" spans="1:41" x14ac:dyDescent="0.25">
      <c r="A27" t="s">
        <v>30</v>
      </c>
    </row>
    <row r="29" spans="1:41" x14ac:dyDescent="0.25">
      <c r="A29" t="s">
        <v>31</v>
      </c>
      <c r="B29">
        <f>150*10^6</f>
        <v>150000000</v>
      </c>
    </row>
    <row r="31" spans="1:41" x14ac:dyDescent="0.2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25">
      <c r="A32" s="2">
        <f>B29</f>
        <v>150000000</v>
      </c>
      <c r="B32" s="2">
        <f t="shared" ref="B32:AE32" si="0">$A$32*L25/$K$25</f>
        <v>150113122.17194575</v>
      </c>
      <c r="C32" s="2">
        <f t="shared" si="0"/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25">
      <c r="U34" s="2"/>
    </row>
    <row r="36" spans="11:21" x14ac:dyDescent="0.25">
      <c r="K3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3"/>
  <sheetViews>
    <sheetView workbookViewId="0">
      <selection activeCell="D10" sqref="D10"/>
    </sheetView>
  </sheetViews>
  <sheetFormatPr defaultRowHeight="15" x14ac:dyDescent="0.25"/>
  <cols>
    <col min="1" max="1" width="31.42578125" customWidth="1"/>
    <col min="2" max="2" width="12" bestFit="1" customWidth="1"/>
  </cols>
  <sheetData>
    <row r="1" spans="1:32" x14ac:dyDescent="0.25">
      <c r="A1" t="s">
        <v>32</v>
      </c>
      <c r="B1">
        <f>17*10^6</f>
        <v>17000000</v>
      </c>
    </row>
    <row r="2" spans="1:32" x14ac:dyDescent="0.25">
      <c r="A2" t="s">
        <v>33</v>
      </c>
      <c r="B2">
        <f>33*10^9</f>
        <v>33000000000</v>
      </c>
    </row>
    <row r="3" spans="1:32" x14ac:dyDescent="0.25">
      <c r="A3" t="s">
        <v>34</v>
      </c>
      <c r="B3">
        <f>500000000*5</f>
        <v>2500000000</v>
      </c>
    </row>
    <row r="4" spans="1:32" ht="29.1" customHeight="1" x14ac:dyDescent="0.25">
      <c r="A4" s="5" t="s">
        <v>35</v>
      </c>
      <c r="B4" s="2">
        <f>B1/B2*B3</f>
        <v>1287878.7878787878</v>
      </c>
      <c r="D4" s="9"/>
    </row>
    <row r="6" spans="1:32" x14ac:dyDescent="0.25">
      <c r="A6" t="s">
        <v>36</v>
      </c>
    </row>
    <row r="7" spans="1:32" x14ac:dyDescent="0.25">
      <c r="A7" t="s">
        <v>37</v>
      </c>
    </row>
    <row r="9" spans="1:32" x14ac:dyDescent="0.2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25">
      <c r="A10" t="s">
        <v>38</v>
      </c>
      <c r="B10">
        <v>0</v>
      </c>
      <c r="C10">
        <v>0</v>
      </c>
      <c r="D10" s="2">
        <f>$B$4/9</f>
        <v>143097.6430976431</v>
      </c>
      <c r="E10" s="2">
        <f t="shared" ref="E10:L10" si="0">$B$4/9+D10</f>
        <v>286195.2861952862</v>
      </c>
      <c r="F10" s="2">
        <f t="shared" si="0"/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 t="shared" ref="M10:AF10" si="1">$L$10</f>
        <v>1287878.7878787876</v>
      </c>
      <c r="N10" s="2">
        <f t="shared" si="1"/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2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4"/>
  <sheetViews>
    <sheetView workbookViewId="0">
      <selection activeCell="A3" sqref="A3"/>
    </sheetView>
  </sheetViews>
  <sheetFormatPr defaultRowHeight="15" x14ac:dyDescent="0.25"/>
  <cols>
    <col min="1" max="1" width="38" customWidth="1"/>
    <col min="2" max="32" width="9.42578125" bestFit="1" customWidth="1"/>
  </cols>
  <sheetData>
    <row r="1" spans="1:32" x14ac:dyDescent="0.2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39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2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2023-09-26T19:47:05Z</dcterms:modified>
</cp:coreProperties>
</file>