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BGCL\"/>
    </mc:Choice>
  </mc:AlternateContent>
  <xr:revisionPtr revIDLastSave="0" documentId="13_ncr:1_{11CB9732-B63E-47AC-B933-11538DD711D0}" xr6:coauthVersionLast="47" xr6:coauthVersionMax="47" xr10:uidLastSave="{00000000-0000-0000-0000-000000000000}"/>
  <bookViews>
    <workbookView xWindow="390" yWindow="390" windowWidth="21600" windowHeight="12645" xr2:uid="{00000000-000D-0000-FFFF-FFFF00000000}"/>
  </bookViews>
  <sheets>
    <sheet name="About" sheetId="1" r:id="rId1"/>
    <sheet name="EIA Plant Lifetimes" sheetId="2" r:id="rId2"/>
    <sheet name="BGC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B13" i="3"/>
  <c r="B12" i="3"/>
  <c r="B16" i="3" s="1"/>
  <c r="B11" i="3"/>
  <c r="B10" i="3"/>
  <c r="B21" i="3" s="1"/>
  <c r="B9" i="3"/>
  <c r="B8" i="3"/>
  <c r="B7" i="3"/>
  <c r="B15" i="3" s="1"/>
  <c r="B6" i="3"/>
  <c r="B5" i="3"/>
  <c r="B23" i="3" s="1"/>
  <c r="B4" i="3"/>
  <c r="B20" i="3" s="1"/>
  <c r="B24" i="3" s="1"/>
  <c r="B3" i="3"/>
  <c r="B2" i="3"/>
  <c r="B14" i="3" s="1"/>
  <c r="B22" i="3" s="1"/>
  <c r="B18" i="3" l="1"/>
  <c r="B19" i="3"/>
  <c r="B17" i="3"/>
</calcChain>
</file>

<file path=xl/sharedStrings.xml><?xml version="1.0" encoding="utf-8"?>
<sst xmlns="http://schemas.openxmlformats.org/spreadsheetml/2006/main" count="53" uniqueCount="53">
  <si>
    <t>BGCL BAU Generation Capacity Lifetime</t>
  </si>
  <si>
    <t>Iowa</t>
  </si>
  <si>
    <t>Source:</t>
  </si>
  <si>
    <t>All Sources</t>
  </si>
  <si>
    <t>Energy Information Administration</t>
  </si>
  <si>
    <t>Capital Cost and Performance Characteristic Estimates for Utility Sceal Electric Power Generating Technologies</t>
  </si>
  <si>
    <t>https://www.eia.gov/analysis/studies/powerplants/capitalcost/pdf/capital_cost_AEO2020.pdf</t>
  </si>
  <si>
    <t>Page 157, Figure 113</t>
  </si>
  <si>
    <t>Notes</t>
  </si>
  <si>
    <t>This variable represents the lifetimes of different power plant types.</t>
  </si>
  <si>
    <t>We consider the lifetime of petroleum (oil) - burning plants to be the same as natural gas</t>
  </si>
  <si>
    <t>and coal plants.</t>
  </si>
  <si>
    <t>We assume lignite plants have the same lifetime as hard coal plants and that offshore plants have</t>
  </si>
  <si>
    <t>the same lifetime as onshore wind plants.</t>
  </si>
  <si>
    <t>Plant Type</t>
  </si>
  <si>
    <t>Lifetime (yr)</t>
  </si>
  <si>
    <t>UCS Coal w/o CCUS</t>
  </si>
  <si>
    <t>Combustion Turbine</t>
  </si>
  <si>
    <t>Combined Cycle</t>
  </si>
  <si>
    <t>Advanced Nuclear</t>
  </si>
  <si>
    <t>Biomass</t>
  </si>
  <si>
    <t>Geothermal</t>
  </si>
  <si>
    <t>Hydro</t>
  </si>
  <si>
    <t>Wind (onshore)</t>
  </si>
  <si>
    <t>Wind(offshore)</t>
  </si>
  <si>
    <t>Solar Thermal</t>
  </si>
  <si>
    <t>Solar PV</t>
  </si>
  <si>
    <t>Electricity Source</t>
  </si>
  <si>
    <t>Lifetime (years)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</si>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</sst>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1" fillId="0" borderId="0" xfId="1"/>
    <xf numFmtId="0" fontId="2" fillId="0" borderId="0" xfId="0" applyFont="1" applyAlignment="1">
      <alignment horizontal="right"/>
    </xf>
    <xf numFmtId="0" fontId="2" fillId="2" borderId="0" xfId="0" applyFont="1" applyFill="1"/>
    <xf numFmtId="1" fontId="0" fillId="0" borderId="0" xfId="0" applyNumberForma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analysis/studies/powerplants/capitalcost/pdf/capital_cost_AEO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7" sqref="B7"/>
    </sheetView>
  </sheetViews>
  <sheetFormatPr defaultRowHeight="15" x14ac:dyDescent="0.25"/>
  <cols>
    <col min="2" max="2" width="78.42578125" customWidth="1"/>
  </cols>
  <sheetData>
    <row r="1" spans="1:2" x14ac:dyDescent="0.25">
      <c r="A1" s="2" t="s">
        <v>0</v>
      </c>
      <c r="B1" t="s">
        <v>1</v>
      </c>
    </row>
    <row r="3" spans="1:2" x14ac:dyDescent="0.25">
      <c r="A3" s="2" t="s">
        <v>2</v>
      </c>
      <c r="B3" s="5" t="s">
        <v>3</v>
      </c>
    </row>
    <row r="4" spans="1:2" x14ac:dyDescent="0.25">
      <c r="B4" t="s">
        <v>4</v>
      </c>
    </row>
    <row r="5" spans="1:2" x14ac:dyDescent="0.25">
      <c r="B5" s="1">
        <v>2020</v>
      </c>
    </row>
    <row r="6" spans="1:2" x14ac:dyDescent="0.25">
      <c r="B6" t="s">
        <v>5</v>
      </c>
    </row>
    <row r="7" spans="1:2" x14ac:dyDescent="0.25">
      <c r="B7" s="3" t="s">
        <v>6</v>
      </c>
    </row>
    <row r="8" spans="1:2" x14ac:dyDescent="0.25">
      <c r="B8" t="s">
        <v>7</v>
      </c>
    </row>
    <row r="10" spans="1:2" x14ac:dyDescent="0.25">
      <c r="A10" s="2" t="s">
        <v>8</v>
      </c>
    </row>
    <row r="11" spans="1:2" x14ac:dyDescent="0.25">
      <c r="A11" t="s">
        <v>9</v>
      </c>
    </row>
    <row r="12" spans="1:2" x14ac:dyDescent="0.25">
      <c r="A12" s="2"/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cols>
    <col min="1" max="1" width="22" customWidth="1"/>
    <col min="2" max="2" width="14.28515625" customWidth="1"/>
  </cols>
  <sheetData>
    <row r="1" spans="1:2" x14ac:dyDescent="0.25">
      <c r="A1" s="2" t="s">
        <v>14</v>
      </c>
      <c r="B1" s="4" t="s">
        <v>15</v>
      </c>
    </row>
    <row r="2" spans="1:2" x14ac:dyDescent="0.25">
      <c r="A2" t="s">
        <v>16</v>
      </c>
      <c r="B2">
        <v>40</v>
      </c>
    </row>
    <row r="3" spans="1:2" x14ac:dyDescent="0.25">
      <c r="A3" t="s">
        <v>17</v>
      </c>
      <c r="B3">
        <v>40</v>
      </c>
    </row>
    <row r="4" spans="1:2" x14ac:dyDescent="0.25">
      <c r="A4" t="s">
        <v>18</v>
      </c>
      <c r="B4">
        <v>40</v>
      </c>
    </row>
    <row r="5" spans="1:2" x14ac:dyDescent="0.25">
      <c r="A5" t="s">
        <v>19</v>
      </c>
      <c r="B5">
        <v>40</v>
      </c>
    </row>
    <row r="6" spans="1:2" x14ac:dyDescent="0.25">
      <c r="A6" t="s">
        <v>20</v>
      </c>
      <c r="B6">
        <v>40</v>
      </c>
    </row>
    <row r="7" spans="1:2" x14ac:dyDescent="0.25">
      <c r="A7" t="s">
        <v>21</v>
      </c>
      <c r="B7">
        <v>40</v>
      </c>
    </row>
    <row r="8" spans="1:2" x14ac:dyDescent="0.25">
      <c r="A8" t="s">
        <v>22</v>
      </c>
      <c r="B8">
        <v>50</v>
      </c>
    </row>
    <row r="9" spans="1:2" x14ac:dyDescent="0.25">
      <c r="A9" t="s">
        <v>23</v>
      </c>
      <c r="B9">
        <v>25</v>
      </c>
    </row>
    <row r="10" spans="1:2" x14ac:dyDescent="0.25">
      <c r="A10" t="s">
        <v>24</v>
      </c>
      <c r="B10">
        <v>25</v>
      </c>
    </row>
    <row r="11" spans="1:2" x14ac:dyDescent="0.25">
      <c r="A11" t="s">
        <v>25</v>
      </c>
      <c r="B11">
        <v>30</v>
      </c>
    </row>
    <row r="12" spans="1:2" x14ac:dyDescent="0.25">
      <c r="A12" t="s">
        <v>26</v>
      </c>
      <c r="B1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1:B25"/>
  <sheetViews>
    <sheetView workbookViewId="0">
      <selection activeCell="B25" sqref="B25"/>
    </sheetView>
  </sheetViews>
  <sheetFormatPr defaultRowHeight="15" x14ac:dyDescent="0.25"/>
  <cols>
    <col min="1" max="1" width="25.7109375" customWidth="1"/>
    <col min="2" max="2" width="16.140625" customWidth="1"/>
  </cols>
  <sheetData>
    <row r="1" spans="1:2" x14ac:dyDescent="0.25">
      <c r="A1" s="2" t="s">
        <v>27</v>
      </c>
      <c r="B1" s="4" t="s">
        <v>28</v>
      </c>
    </row>
    <row r="2" spans="1:2" x14ac:dyDescent="0.25">
      <c r="A2" t="s">
        <v>29</v>
      </c>
      <c r="B2">
        <f>'EIA Plant Lifetimes'!B2</f>
        <v>40</v>
      </c>
    </row>
    <row r="3" spans="1:2" x14ac:dyDescent="0.25">
      <c r="A3" t="s">
        <v>30</v>
      </c>
      <c r="B3">
        <f>'EIA Plant Lifetimes'!B4</f>
        <v>40</v>
      </c>
    </row>
    <row r="4" spans="1:2" x14ac:dyDescent="0.25">
      <c r="A4" t="s">
        <v>31</v>
      </c>
      <c r="B4">
        <f>'EIA Plant Lifetimes'!B4</f>
        <v>40</v>
      </c>
    </row>
    <row r="5" spans="1:2" x14ac:dyDescent="0.25">
      <c r="A5" t="s">
        <v>32</v>
      </c>
      <c r="B5">
        <f>'EIA Plant Lifetimes'!B5</f>
        <v>40</v>
      </c>
    </row>
    <row r="6" spans="1:2" x14ac:dyDescent="0.25">
      <c r="A6" t="s">
        <v>33</v>
      </c>
      <c r="B6" s="6">
        <f>'EIA Plant Lifetimes'!B8</f>
        <v>50</v>
      </c>
    </row>
    <row r="7" spans="1:2" x14ac:dyDescent="0.25">
      <c r="A7" t="s">
        <v>34</v>
      </c>
      <c r="B7">
        <f>'EIA Plant Lifetimes'!B9</f>
        <v>25</v>
      </c>
    </row>
    <row r="8" spans="1:2" x14ac:dyDescent="0.25">
      <c r="A8" t="s">
        <v>35</v>
      </c>
      <c r="B8">
        <f>'EIA Plant Lifetimes'!B12</f>
        <v>30</v>
      </c>
    </row>
    <row r="9" spans="1:2" x14ac:dyDescent="0.25">
      <c r="A9" t="s">
        <v>36</v>
      </c>
      <c r="B9">
        <f>'EIA Plant Lifetimes'!B11</f>
        <v>30</v>
      </c>
    </row>
    <row r="10" spans="1:2" x14ac:dyDescent="0.25">
      <c r="A10" t="s">
        <v>37</v>
      </c>
      <c r="B10">
        <f>'EIA Plant Lifetimes'!B6</f>
        <v>40</v>
      </c>
    </row>
    <row r="11" spans="1:2" x14ac:dyDescent="0.25">
      <c r="A11" t="s">
        <v>38</v>
      </c>
      <c r="B11">
        <f>'EIA Plant Lifetimes'!B7</f>
        <v>40</v>
      </c>
    </row>
    <row r="12" spans="1:2" x14ac:dyDescent="0.25">
      <c r="A12" t="s">
        <v>39</v>
      </c>
      <c r="B12">
        <f>AVERAGE('EIA Plant Lifetimes'!B2:B4)</f>
        <v>40</v>
      </c>
    </row>
    <row r="13" spans="1:2" x14ac:dyDescent="0.25">
      <c r="A13" t="s">
        <v>40</v>
      </c>
      <c r="B13">
        <f>'EIA Plant Lifetimes'!B3</f>
        <v>40</v>
      </c>
    </row>
    <row r="14" spans="1:2" x14ac:dyDescent="0.25">
      <c r="A14" t="s">
        <v>41</v>
      </c>
      <c r="B14">
        <f>B2</f>
        <v>40</v>
      </c>
    </row>
    <row r="15" spans="1:2" x14ac:dyDescent="0.25">
      <c r="A15" t="s">
        <v>42</v>
      </c>
      <c r="B15">
        <f>B7</f>
        <v>25</v>
      </c>
    </row>
    <row r="16" spans="1:2" x14ac:dyDescent="0.25">
      <c r="A16" t="s">
        <v>43</v>
      </c>
      <c r="B16">
        <f>B12</f>
        <v>40</v>
      </c>
    </row>
    <row r="17" spans="1:2" x14ac:dyDescent="0.25">
      <c r="A17" t="s">
        <v>44</v>
      </c>
      <c r="B17">
        <f>B12</f>
        <v>40</v>
      </c>
    </row>
    <row r="18" spans="1:2" x14ac:dyDescent="0.25">
      <c r="A18" t="s">
        <v>45</v>
      </c>
      <c r="B18">
        <f>B10</f>
        <v>40</v>
      </c>
    </row>
    <row r="19" spans="1:2" x14ac:dyDescent="0.25">
      <c r="A19" t="s">
        <v>46</v>
      </c>
      <c r="B19">
        <f>B2</f>
        <v>40</v>
      </c>
    </row>
    <row r="20" spans="1:2" x14ac:dyDescent="0.25">
      <c r="A20" t="s">
        <v>47</v>
      </c>
      <c r="B20">
        <f>B4</f>
        <v>40</v>
      </c>
    </row>
    <row r="21" spans="1:2" x14ac:dyDescent="0.25">
      <c r="A21" t="s">
        <v>48</v>
      </c>
      <c r="B21">
        <f>B10</f>
        <v>40</v>
      </c>
    </row>
    <row r="22" spans="1:2" x14ac:dyDescent="0.25">
      <c r="A22" t="s">
        <v>49</v>
      </c>
      <c r="B22">
        <f>B14</f>
        <v>40</v>
      </c>
    </row>
    <row r="23" spans="1:2" x14ac:dyDescent="0.25">
      <c r="A23" t="s">
        <v>50</v>
      </c>
      <c r="B23">
        <f>B5</f>
        <v>40</v>
      </c>
    </row>
    <row r="24" spans="1:2" x14ac:dyDescent="0.25">
      <c r="A24" s="7" t="s">
        <v>51</v>
      </c>
      <c r="B24">
        <f>B20</f>
        <v>40</v>
      </c>
    </row>
    <row r="25" spans="1:2" x14ac:dyDescent="0.25">
      <c r="A25" s="7" t="s">
        <v>52</v>
      </c>
      <c r="B25">
        <f>B4</f>
        <v>40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EIA Plant Lifetimes</vt:lpstr>
      <vt:lpstr>BGCL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richardmcdowell@gmail.com</dc:creator>
  <cp:lastModifiedBy>Olivia Ashmoore</cp:lastModifiedBy>
  <dcterms:created xsi:type="dcterms:W3CDTF">2014-02-09T22:44:29Z</dcterms:created>
  <dcterms:modified xsi:type="dcterms:W3CDTF">2023-09-26T19:46:37Z</dcterms:modified>
</cp:coreProperties>
</file>