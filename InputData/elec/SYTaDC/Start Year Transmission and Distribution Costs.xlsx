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SYTaDC\"/>
    </mc:Choice>
  </mc:AlternateContent>
  <xr:revisionPtr revIDLastSave="0" documentId="8_{E8FEC163-8E03-436A-8E39-798388891C32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<sst xmlns="http://schemas.openxmlformats.org/spreadsheetml/2006/main" count="264" uniqueCount="144">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</sst>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46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IA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Iowa</v>
      </c>
    </row>
    <row r="44" spans="1:42" x14ac:dyDescent="0.25">
      <c r="A44" t="s">
        <v>143</v>
      </c>
      <c r="B44" s="15">
        <f>SUMIFS('HIFLD Outputs'!$F$2:$F$49,'HIFLD Outputs'!$B$2:$B$49,'Data National'!$A$43)*B34</f>
        <v>2352659.536906342</v>
      </c>
      <c r="C44" s="15">
        <f>SUMIFS('HIFLD Outputs'!$F$2:$F$49,'HIFLD Outputs'!$B$2:$B$49,'Data National'!$A$43)*C34</f>
        <v>2354447.272116757</v>
      </c>
      <c r="D44" s="15">
        <f>SUMIFS('HIFLD Outputs'!$F$2:$F$49,'HIFLD Outputs'!$B$2:$B$49,'Data National'!$A$43)*D34</f>
        <v>2356235.0073271724</v>
      </c>
      <c r="E44" s="15">
        <f>SUMIFS('HIFLD Outputs'!$F$2:$F$49,'HIFLD Outputs'!$B$2:$B$49,'Data National'!$A$43)*E34</f>
        <v>2358022.7425375874</v>
      </c>
      <c r="F44" s="15">
        <f>SUMIFS('HIFLD Outputs'!$F$2:$F$49,'HIFLD Outputs'!$B$2:$B$49,'Data National'!$A$43)*F34</f>
        <v>2359810.4777480029</v>
      </c>
      <c r="G44" s="15">
        <f>SUMIFS('HIFLD Outputs'!$F$2:$F$49,'HIFLD Outputs'!$B$2:$B$49,'Data National'!$A$43)*G34</f>
        <v>2361598.2129584178</v>
      </c>
      <c r="H44" s="15">
        <f>SUMIFS('HIFLD Outputs'!$F$2:$F$49,'HIFLD Outputs'!$B$2:$B$49,'Data National'!$A$43)*H34</f>
        <v>2363385.9481688333</v>
      </c>
      <c r="I44" s="15">
        <f>SUMIFS('HIFLD Outputs'!$F$2:$F$49,'HIFLD Outputs'!$B$2:$B$49,'Data National'!$A$43)*I34</f>
        <v>2365173.6833792483</v>
      </c>
      <c r="J44" s="15">
        <f>SUMIFS('HIFLD Outputs'!$F$2:$F$49,'HIFLD Outputs'!$B$2:$B$49,'Data National'!$A$43)*J34</f>
        <v>2366961.4185896637</v>
      </c>
      <c r="K44" s="15">
        <f>SUMIFS('HIFLD Outputs'!$F$2:$F$49,'HIFLD Outputs'!$B$2:$B$49,'Data National'!$A$43)*K34</f>
        <v>2368749.1538000787</v>
      </c>
      <c r="L44" s="15">
        <f>SUMIFS('HIFLD Outputs'!$F$2:$F$49,'HIFLD Outputs'!$B$2:$B$49,'Data National'!$A$43)*L34</f>
        <v>2370536.8890104936</v>
      </c>
      <c r="M44" s="15">
        <f>SUMIFS('HIFLD Outputs'!$F$2:$F$49,'HIFLD Outputs'!$B$2:$B$49,'Data National'!$A$43)*M34</f>
        <v>2372324.6242209091</v>
      </c>
      <c r="N44" s="15">
        <f>SUMIFS('HIFLD Outputs'!$F$2:$F$49,'HIFLD Outputs'!$B$2:$B$49,'Data National'!$A$43)*N34</f>
        <v>2374112.3594313241</v>
      </c>
      <c r="O44" s="15">
        <f>SUMIFS('HIFLD Outputs'!$F$2:$F$49,'HIFLD Outputs'!$B$2:$B$49,'Data National'!$A$43)*O34</f>
        <v>2375900.0946417395</v>
      </c>
      <c r="P44" s="15">
        <f>SUMIFS('HIFLD Outputs'!$F$2:$F$49,'HIFLD Outputs'!$B$2:$B$49,'Data National'!$A$43)*P34</f>
        <v>2377687.8298521545</v>
      </c>
      <c r="Q44" s="15">
        <f>SUMIFS('HIFLD Outputs'!$F$2:$F$49,'HIFLD Outputs'!$B$2:$B$49,'Data National'!$A$43)*Q34</f>
        <v>2379475.5650625699</v>
      </c>
      <c r="R44" s="15">
        <f>SUMIFS('HIFLD Outputs'!$F$2:$F$49,'HIFLD Outputs'!$B$2:$B$49,'Data National'!$A$43)*R34</f>
        <v>2381263.3002729849</v>
      </c>
      <c r="S44" s="15">
        <f>SUMIFS('HIFLD Outputs'!$F$2:$F$49,'HIFLD Outputs'!$B$2:$B$49,'Data National'!$A$43)*S34</f>
        <v>2383051.0354834003</v>
      </c>
      <c r="T44" s="15">
        <f>SUMIFS('HIFLD Outputs'!$F$2:$F$49,'HIFLD Outputs'!$B$2:$B$49,'Data National'!$A$43)*T34</f>
        <v>2384838.7706938153</v>
      </c>
      <c r="U44" s="15">
        <f>SUMIFS('HIFLD Outputs'!$F$2:$F$49,'HIFLD Outputs'!$B$2:$B$49,'Data National'!$A$43)*U34</f>
        <v>2386626.5059042308</v>
      </c>
      <c r="V44" s="15">
        <f>SUMIFS('HIFLD Outputs'!$F$2:$F$49,'HIFLD Outputs'!$B$2:$B$49,'Data National'!$A$43)*V34</f>
        <v>2388414.2411146457</v>
      </c>
      <c r="W44" s="15">
        <f>SUMIFS('HIFLD Outputs'!$F$2:$F$49,'HIFLD Outputs'!$B$2:$B$49,'Data National'!$A$43)*W34</f>
        <v>2390201.9763250612</v>
      </c>
      <c r="X44" s="15">
        <f>SUMIFS('HIFLD Outputs'!$F$2:$F$49,'HIFLD Outputs'!$B$2:$B$49,'Data National'!$A$43)*X34</f>
        <v>2391989.7115354761</v>
      </c>
      <c r="Y44" s="15">
        <f>SUMIFS('HIFLD Outputs'!$F$2:$F$49,'HIFLD Outputs'!$B$2:$B$49,'Data National'!$A$43)*Y34</f>
        <v>2393777.4467458916</v>
      </c>
      <c r="Z44" s="15">
        <f>SUMIFS('HIFLD Outputs'!$F$2:$F$49,'HIFLD Outputs'!$B$2:$B$49,'Data National'!$A$43)*Z34</f>
        <v>2395565.1819563066</v>
      </c>
      <c r="AA44" s="15">
        <f>SUMIFS('HIFLD Outputs'!$F$2:$F$49,'HIFLD Outputs'!$B$2:$B$49,'Data National'!$A$43)*AA34</f>
        <v>2397352.917166722</v>
      </c>
      <c r="AB44" s="15">
        <f>SUMIFS('HIFLD Outputs'!$F$2:$F$49,'HIFLD Outputs'!$B$2:$B$49,'Data National'!$A$43)*AB34</f>
        <v>2399140.652377137</v>
      </c>
      <c r="AC44" s="15">
        <f>SUMIFS('HIFLD Outputs'!$F$2:$F$49,'HIFLD Outputs'!$B$2:$B$49,'Data National'!$A$43)*AC34</f>
        <v>2400928.3875875524</v>
      </c>
      <c r="AD44" s="15">
        <f>SUMIFS('HIFLD Outputs'!$F$2:$F$49,'HIFLD Outputs'!$B$2:$B$49,'Data National'!$A$43)*AD34</f>
        <v>2402716.1227979674</v>
      </c>
      <c r="AE44" s="15">
        <f>SUMIFS('HIFLD Outputs'!$F$2:$F$49,'HIFLD Outputs'!$B$2:$B$49,'Data National'!$A$43)*AE34</f>
        <v>2404503.8580083824</v>
      </c>
      <c r="AF44" s="15">
        <f>SUMIFS('HIFLD Outputs'!$F$2:$F$49,'HIFLD Outputs'!$B$2:$B$49,'Data National'!$A$43)*AF34</f>
        <v>2406291.5932187978</v>
      </c>
      <c r="AG44" s="15">
        <f>SUMIFS('HIFLD Outputs'!$F$2:$F$49,'HIFLD Outputs'!$B$2:$B$49,'Data National'!$A$43)*AG34</f>
        <v>2408079.3284292128</v>
      </c>
      <c r="AH44" s="15">
        <f>SUMIFS('HIFLD Outputs'!$F$2:$F$49,'HIFLD Outputs'!$B$2:$B$49,'Data National'!$A$43)*AH34</f>
        <v>2409867.0636396282</v>
      </c>
      <c r="AI44" s="15">
        <f>SUMIFS('HIFLD Outputs'!$F$2:$F$49,'HIFLD Outputs'!$B$2:$B$49,'Data National'!$A$43)*AI34</f>
        <v>2411654.7988500432</v>
      </c>
      <c r="AJ44" s="15">
        <f>SUMIFS('HIFLD Outputs'!$F$2:$F$49,'HIFLD Outputs'!$B$2:$B$49,'Data National'!$A$43)*AJ34</f>
        <v>2413442.5340604587</v>
      </c>
      <c r="AK44" s="15">
        <f>SUMIFS('HIFLD Outputs'!$F$2:$F$49,'HIFLD Outputs'!$B$2:$B$49,'Data National'!$A$43)*AK34</f>
        <v>2415230.2692708736</v>
      </c>
      <c r="AL44" s="15">
        <f>SUMIFS('HIFLD Outputs'!$F$2:$F$49,'HIFLD Outputs'!$B$2:$B$49,'Data National'!$A$43)*AL34</f>
        <v>2417018.0044812891</v>
      </c>
      <c r="AM44" s="15">
        <f>SUMIFS('HIFLD Outputs'!$F$2:$F$49,'HIFLD Outputs'!$B$2:$B$49,'Data National'!$A$43)*AM34</f>
        <v>2418805.739691704</v>
      </c>
      <c r="AN44" s="15">
        <f>SUMIFS('HIFLD Outputs'!$F$2:$F$49,'HIFLD Outputs'!$B$2:$B$49,'Data National'!$A$43)*AN34</f>
        <v>2420593.4749021195</v>
      </c>
      <c r="AO44" s="15">
        <f>SUMIFS('HIFLD Outputs'!$F$2:$F$49,'HIFLD Outputs'!$B$2:$B$49,'Data National'!$A$43)*AO34</f>
        <v>2422381.2101125345</v>
      </c>
      <c r="AP44" s="15">
        <f>SUMIFS('HIFLD Outputs'!$F$2:$F$49,'HIFLD Outputs'!$B$2:$B$49,'Data National'!$A$43)*AP34</f>
        <v>2424168.9453229499</v>
      </c>
    </row>
    <row r="45" spans="1:42" x14ac:dyDescent="0.25">
      <c r="A45" s="16" t="s">
        <v>15</v>
      </c>
      <c r="B45" s="17">
        <f>B37*SUMIFS('HIFLD Outputs'!$F$2:$F$49,'HIFLD Outputs'!$B$2:$B$49,$A$43)</f>
        <v>189089949.39225698</v>
      </c>
    </row>
    <row r="46" spans="1:42" x14ac:dyDescent="0.25">
      <c r="A46" s="16" t="s">
        <v>14</v>
      </c>
      <c r="B46" s="17">
        <f>B38*SUMIFS('HIFLD Outputs'!$F$2:$F$49,'HIFLD Outputs'!$B$2:$B$49,$A$43)</f>
        <v>297304077.05650043</v>
      </c>
    </row>
    <row r="47" spans="1:42" x14ac:dyDescent="0.25">
      <c r="A47" s="16" t="s">
        <v>16</v>
      </c>
      <c r="B47" s="17">
        <f>B39*SUMIFS('HIFLD Outputs'!$F$2:$F$49,'HIFLD Outputs'!$B$2:$B$49,$A$43)</f>
        <v>267687578.95891801</v>
      </c>
    </row>
    <row r="48" spans="1:42" x14ac:dyDescent="0.25">
      <c r="A48" s="16" t="s">
        <v>17</v>
      </c>
      <c r="B48" s="17">
        <f>B40*SUMIFS('HIFLD Outputs'!$F$2:$F$49,'HIFLD Outputs'!$B$2:$B$49,$A$43)</f>
        <v>357676169.33234149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189089949.39225698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297304077.05650043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267687578.95891801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357676169.33234149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2026-06-12T20:48:40Z</dcterms:modified>
</cp:coreProperties>
</file>