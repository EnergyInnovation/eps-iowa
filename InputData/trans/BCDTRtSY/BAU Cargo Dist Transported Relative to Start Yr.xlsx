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IA\trans\BCDTRtSY\"/>
    </mc:Choice>
  </mc:AlternateContent>
  <xr:revisionPtr revIDLastSave="0" documentId="8_{11DD69C7-F1BC-4F73-AFB1-377D0DD88A4B}"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<sst xmlns="http://schemas.openxmlformats.org/spreadsheetml/2006/main" count="6428" uniqueCount="3038">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</sst>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2900</v>
      </c>
      <c r="C1" s="77">
        <v>46248</v>
      </c>
      <c r="H1" t="s">
        <v>2981</v>
      </c>
      <c r="I1" t="s">
        <v>2982</v>
      </c>
    </row>
    <row r="2" spans="1:9">
      <c r="B2" t="str">
        <f>VLOOKUP(B1,H2:I52,2)</f>
        <v>IA</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Iowa</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1.0065075618355224</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1.014449271548022</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1.0193141709103397</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1.0237752315506379</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1.0274978515441839</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1.0284191450905806</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1.0295061365419951</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1.0292025598957484</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1.0295013235442589</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1.0289612074663699</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1.0291199904719395</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1.0297117229492048</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1.0303613965774707</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1.0304183271365905</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1.0306776623371388</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1.0297885692619828</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1.0287803488527361</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1.0274429166307364</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1.0263312549671173</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1.0250070437119472</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1.0234248894483917</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1.0210799238537056</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1.0188653217834929</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1.0164316444305481</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1.0143898255648161</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1.0183208200803002</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1.0308551103028321</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1.0399291996532611</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1.0477943003209442</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1.0542555231111785</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1.0568024231065183</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1.0589281640679442</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1.0615352533093061</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1.0636763039028989</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1.0661389390617888</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1.0678285820625035</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1.0696490045794855</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1.0709777664023956</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1.0722880053536896</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1.0735490830025729</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1.0737295803199436</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1.0738640015908536</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1.0736730099251297</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1.0733665395481313</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1.0729524001479116</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1.0721658549560946</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1.0712725813311037</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1.0700157294831396</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1.0685935266888851</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1.0671075960921865</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1.0317436955716568</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1.0509206677253047</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1.0593216182722256</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1.0725641405429738</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1.0899672504751028</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1.1040542214033453</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1.1224769604095675</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1.1427439380542659</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1.1653079702796934</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1.1903547722187096</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1.2084532043813914</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1.2265879264387305</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1.2444395470256442</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1.2612768270222492</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1.2785243695361139</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1.2939793170882463</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1.3104569069134151</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1.3281895321930413</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1.3457893658699625</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1.363466625252334</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1.3801001431138873</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1.3947676454906737</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1.4095687751130479</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1.4232940151482392</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1.4374561446233223</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1.0641167090151213</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1.1119097701011003</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1.1482156661636396</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1.1797418883447908</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1.2066685572382436</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1.2266484782703759</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1.2443916979327883</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1.2629530834015144</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1.2764467422302834</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1.2898793114162583</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1.2995970015934279</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1.3101564888553434</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1.3194119506331849</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1.3259830303971725</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1.3328959221426842</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1.337895223375688</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1.3429061700685905</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1.3463779367438671</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1.3506369736655683</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1.3555254841436741</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1.3588078010814113</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1.3627872909709069</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1.3645081498118363</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1.3658223140367076</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1.3668366823104414</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1.002326138267569</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0.99756555498378319</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0.98683222818129013</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0.97853021620647984</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0.97251160471924725</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0.96392199980969839</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0.95768827493622366</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0.95266527621101482</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0.94889138290926323</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0.94641672954381895</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0.94101207244745999</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0.93566328215071692</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0.93017104536823803</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0.92462806330006031</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0.91919505060777396</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0.91276767104992618</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0.90677706680480397</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0.90109478691430334</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0.89543179830826347</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0.88975615796521423</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0.88364429834003744</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0.87692358645219537</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0.8700890452590182</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0.86291511489236949</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0.85602751717707315</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1.0062718351183197</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1.0147462758660093</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1.0202881252538345</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1.025627737818366</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1.0299396808744796</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1.0321073843060842</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1.0343253136970005</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1.0350124221476549</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1.0360590441085027</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1.0362046725527663</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1.0371556130306316</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1.0385570028420088</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1.0399318704181983</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1.0405924348147362</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1.0414843691679314</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1.0415034743024449</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1.0412607598307244</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1.0407908872465523</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1.0406554908721921</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1.0403922587853636</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1.0396759992355751</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1.0382442768282421</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1.036767449746445</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1.0351437181095109</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1.0339169606673368</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0.99646578977039901</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0.99839364074050985</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0.99995156171264643</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1.0026820579617042</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1.0102141227636805</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1.0141402982364258</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1.0198767267922895</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1.0243201736353826</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1.030710721897752</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1.0378194927677258</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1.045277605726133</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1.0540125176490069</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1.0639934481834605</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1.0743506998523709</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1.0852326433963879</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1.0947957595077322</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1.1037425198201445</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1.110116920581889</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1.1162230310545396</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1.1236944438111602</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1.1316357139864099</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1.1402630406039096</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1.1476139391419522</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1.1557456517134352</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1.1631208049935755</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1.0111155240788749</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1.026483990946967</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1.0410019995509538</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1.0529320622776837</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1.0672574043130301</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1.0747933196389667</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1.0832458040815922</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1.0894993894557046</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1.0970152330790679</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1.1043953126237831</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1.110971079249762</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1.1168470558203496</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1.1217091904980616</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1.1260015223132509</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1.1304745652930479</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1.1343438423568093</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1.1376785591738146</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1.1399913911341486</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1.1426199814054148</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1.1471252667396792</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1.1518384549795857</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1.1564533947531177</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1.1589391521169066</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1.1613473193679724</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1.1631902980418076</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1.0271913347817099</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1.0466350472680139</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1.0596255345251748</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1.0763356051864921</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1.096053450233077</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1.1129788289475748</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1.133003630878012</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1.154474173207404</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1.1776956719167537</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1.2027813236835192</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1.2233427399597798</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1.2440712881842473</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1.2647422610473653</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1.2848422837324638</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1.3053614823843518</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1.3246170838584892</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1.3446812592088979</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1.3657213770182597</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1.3867843380660667</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1.4080123088770908</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1.4286297440181566</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1.4479841158325388</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1.4675468053394962</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1.4864716851356461</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1.5058383490464118</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0.97761457414391972</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1.009473766629118</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0.98910146553665146</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0.98161941240994599</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0.98848175634467983</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0.96136408821961983</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0.96363636245104556</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0.96605548869693392</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0.96157311610351559</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0.96297916904223346</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0.9635333225014866</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0.96545804989755424</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0.9641378129179855</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0.96437701745220217</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0.96364004888702004</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0.96079201149367466</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0.95586462008986872</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0.95158219224093388</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0.94974359516574103</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0.94732796251412177</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0.94738639014450488</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0.95104074645974324</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0.95212941070760482</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0.9475063936268292</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0.94354848722410845</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0.99249114690703166</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1.0119921342284226</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1.0335311517437993</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1.0517093840846605</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1.0708232488550835</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1.0861351930941301</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1.1034522130239874</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1.1210121937748976</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1.1392395679402461</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1.1584199363797956</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1.1735474932648216</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1.1853029621144553</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1.197015481998055</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1.207520315394669</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1.2180761136835609</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1.2278412096952713</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1.2386240741161407</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1.2489513727532242</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1.259093761835923</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1.2705317987559801</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1.2820822682118522</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1.2937791949571735</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1.3046786724069215</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1.3152369015323599</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1.3271646085138777</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1.0065075618355224</v>
      </c>
      <c r="E2">
        <f>'BCDTRtSY-state-adjusted'!E5</f>
        <v>1.014449271548022</v>
      </c>
      <c r="F2">
        <f>'BCDTRtSY-state-adjusted'!F5</f>
        <v>1.0193141709103397</v>
      </c>
      <c r="G2">
        <f>'BCDTRtSY-state-adjusted'!G5</f>
        <v>1.0237752315506379</v>
      </c>
      <c r="H2">
        <f>'BCDTRtSY-state-adjusted'!H5</f>
        <v>1.0274978515441839</v>
      </c>
      <c r="I2">
        <f>'BCDTRtSY-state-adjusted'!I5</f>
        <v>1.0284191450905806</v>
      </c>
      <c r="J2">
        <f>'BCDTRtSY-state-adjusted'!J5</f>
        <v>1.0295061365419951</v>
      </c>
      <c r="K2">
        <f>'BCDTRtSY-state-adjusted'!K5</f>
        <v>1.0292025598957484</v>
      </c>
      <c r="L2">
        <f>'BCDTRtSY-state-adjusted'!L5</f>
        <v>1.0295013235442589</v>
      </c>
      <c r="M2">
        <f>'BCDTRtSY-state-adjusted'!M5</f>
        <v>1.0289612074663699</v>
      </c>
      <c r="N2">
        <f>'BCDTRtSY-state-adjusted'!N5</f>
        <v>1.0291199904719395</v>
      </c>
      <c r="O2">
        <f>'BCDTRtSY-state-adjusted'!O5</f>
        <v>1.0297117229492048</v>
      </c>
      <c r="P2">
        <f>'BCDTRtSY-state-adjusted'!P5</f>
        <v>1.0303613965774707</v>
      </c>
      <c r="Q2">
        <f>'BCDTRtSY-state-adjusted'!Q5</f>
        <v>1.0304183271365905</v>
      </c>
      <c r="R2">
        <f>'BCDTRtSY-state-adjusted'!R5</f>
        <v>1.0306776623371388</v>
      </c>
      <c r="S2">
        <f>'BCDTRtSY-state-adjusted'!S5</f>
        <v>1.0297885692619828</v>
      </c>
      <c r="T2">
        <f>'BCDTRtSY-state-adjusted'!T5</f>
        <v>1.0287803488527361</v>
      </c>
      <c r="U2">
        <f>'BCDTRtSY-state-adjusted'!U5</f>
        <v>1.0274429166307364</v>
      </c>
      <c r="V2">
        <f>'BCDTRtSY-state-adjusted'!V5</f>
        <v>1.0263312549671173</v>
      </c>
      <c r="W2">
        <f>'BCDTRtSY-state-adjusted'!W5</f>
        <v>1.0250070437119472</v>
      </c>
      <c r="X2">
        <f>'BCDTRtSY-state-adjusted'!X5</f>
        <v>1.0234248894483917</v>
      </c>
      <c r="Y2">
        <f>'BCDTRtSY-state-adjusted'!Y5</f>
        <v>1.0210799238537056</v>
      </c>
      <c r="Z2">
        <f>'BCDTRtSY-state-adjusted'!Z5</f>
        <v>1.0188653217834929</v>
      </c>
      <c r="AA2">
        <f>'BCDTRtSY-state-adjusted'!AA5</f>
        <v>1.0164316444305481</v>
      </c>
      <c r="AB2">
        <f>'BCDTRtSY-state-adjusted'!AB5</f>
        <v>1.0143898255648161</v>
      </c>
    </row>
    <row r="3" spans="1:28">
      <c r="A3" t="s">
        <v>118</v>
      </c>
      <c r="B3">
        <f>'BCDTRtSY-state-adjusted'!B6</f>
        <v>1</v>
      </c>
      <c r="C3">
        <f>'BCDTRtSY-state-adjusted'!C6</f>
        <v>1</v>
      </c>
      <c r="D3">
        <f>'BCDTRtSY-state-adjusted'!D6</f>
        <v>1.0183208200803002</v>
      </c>
      <c r="E3">
        <f>'BCDTRtSY-state-adjusted'!E6</f>
        <v>1.0308551103028321</v>
      </c>
      <c r="F3">
        <f>'BCDTRtSY-state-adjusted'!F6</f>
        <v>1.0399291996532611</v>
      </c>
      <c r="G3">
        <f>'BCDTRtSY-state-adjusted'!G6</f>
        <v>1.0477943003209442</v>
      </c>
      <c r="H3">
        <f>'BCDTRtSY-state-adjusted'!H6</f>
        <v>1.0542555231111785</v>
      </c>
      <c r="I3">
        <f>'BCDTRtSY-state-adjusted'!I6</f>
        <v>1.0568024231065183</v>
      </c>
      <c r="J3">
        <f>'BCDTRtSY-state-adjusted'!J6</f>
        <v>1.0589281640679442</v>
      </c>
      <c r="K3">
        <f>'BCDTRtSY-state-adjusted'!K6</f>
        <v>1.0615352533093061</v>
      </c>
      <c r="L3">
        <f>'BCDTRtSY-state-adjusted'!L6</f>
        <v>1.0636763039028989</v>
      </c>
      <c r="M3">
        <f>'BCDTRtSY-state-adjusted'!M6</f>
        <v>1.0661389390617888</v>
      </c>
      <c r="N3">
        <f>'BCDTRtSY-state-adjusted'!N6</f>
        <v>1.0678285820625035</v>
      </c>
      <c r="O3">
        <f>'BCDTRtSY-state-adjusted'!O6</f>
        <v>1.0696490045794855</v>
      </c>
      <c r="P3">
        <f>'BCDTRtSY-state-adjusted'!P6</f>
        <v>1.0709777664023956</v>
      </c>
      <c r="Q3">
        <f>'BCDTRtSY-state-adjusted'!Q6</f>
        <v>1.0722880053536896</v>
      </c>
      <c r="R3">
        <f>'BCDTRtSY-state-adjusted'!R6</f>
        <v>1.0735490830025729</v>
      </c>
      <c r="S3">
        <f>'BCDTRtSY-state-adjusted'!S6</f>
        <v>1.0737295803199436</v>
      </c>
      <c r="T3">
        <f>'BCDTRtSY-state-adjusted'!T6</f>
        <v>1.0738640015908536</v>
      </c>
      <c r="U3">
        <f>'BCDTRtSY-state-adjusted'!U6</f>
        <v>1.0736730099251297</v>
      </c>
      <c r="V3">
        <f>'BCDTRtSY-state-adjusted'!V6</f>
        <v>1.0733665395481313</v>
      </c>
      <c r="W3">
        <f>'BCDTRtSY-state-adjusted'!W6</f>
        <v>1.0729524001479116</v>
      </c>
      <c r="X3">
        <f>'BCDTRtSY-state-adjusted'!X6</f>
        <v>1.0721658549560946</v>
      </c>
      <c r="Y3">
        <f>'BCDTRtSY-state-adjusted'!Y6</f>
        <v>1.0712725813311037</v>
      </c>
      <c r="Z3">
        <f>'BCDTRtSY-state-adjusted'!Z6</f>
        <v>1.0700157294831396</v>
      </c>
      <c r="AA3">
        <f>'BCDTRtSY-state-adjusted'!AA6</f>
        <v>1.0685935266888851</v>
      </c>
      <c r="AB3">
        <f>'BCDTRtSY-state-adjusted'!AB6</f>
        <v>1.0671075960921865</v>
      </c>
    </row>
    <row r="4" spans="1:28">
      <c r="A4" t="s">
        <v>116</v>
      </c>
      <c r="B4">
        <f>'BCDTRtSY-state-adjusted'!B7</f>
        <v>1</v>
      </c>
      <c r="C4">
        <f>'BCDTRtSY-state-adjusted'!C7</f>
        <v>1</v>
      </c>
      <c r="D4">
        <f>'BCDTRtSY-state-adjusted'!D7</f>
        <v>1.0317436955716568</v>
      </c>
      <c r="E4">
        <f>'BCDTRtSY-state-adjusted'!E7</f>
        <v>1.0509206677253047</v>
      </c>
      <c r="F4">
        <f>'BCDTRtSY-state-adjusted'!F7</f>
        <v>1.0593216182722256</v>
      </c>
      <c r="G4">
        <f>'BCDTRtSY-state-adjusted'!G7</f>
        <v>1.0725641405429738</v>
      </c>
      <c r="H4">
        <f>'BCDTRtSY-state-adjusted'!H7</f>
        <v>1.0899672504751028</v>
      </c>
      <c r="I4">
        <f>'BCDTRtSY-state-adjusted'!I7</f>
        <v>1.1040542214033453</v>
      </c>
      <c r="J4">
        <f>'BCDTRtSY-state-adjusted'!J7</f>
        <v>1.1224769604095675</v>
      </c>
      <c r="K4">
        <f>'BCDTRtSY-state-adjusted'!K7</f>
        <v>1.1427439380542659</v>
      </c>
      <c r="L4">
        <f>'BCDTRtSY-state-adjusted'!L7</f>
        <v>1.1653079702796934</v>
      </c>
      <c r="M4">
        <f>'BCDTRtSY-state-adjusted'!M7</f>
        <v>1.1903547722187096</v>
      </c>
      <c r="N4">
        <f>'BCDTRtSY-state-adjusted'!N7</f>
        <v>1.2084532043813914</v>
      </c>
      <c r="O4">
        <f>'BCDTRtSY-state-adjusted'!O7</f>
        <v>1.2265879264387305</v>
      </c>
      <c r="P4">
        <f>'BCDTRtSY-state-adjusted'!P7</f>
        <v>1.2444395470256442</v>
      </c>
      <c r="Q4">
        <f>'BCDTRtSY-state-adjusted'!Q7</f>
        <v>1.2612768270222492</v>
      </c>
      <c r="R4">
        <f>'BCDTRtSY-state-adjusted'!R7</f>
        <v>1.2785243695361139</v>
      </c>
      <c r="S4">
        <f>'BCDTRtSY-state-adjusted'!S7</f>
        <v>1.2939793170882463</v>
      </c>
      <c r="T4">
        <f>'BCDTRtSY-state-adjusted'!T7</f>
        <v>1.3104569069134151</v>
      </c>
      <c r="U4">
        <f>'BCDTRtSY-state-adjusted'!U7</f>
        <v>1.3281895321930413</v>
      </c>
      <c r="V4">
        <f>'BCDTRtSY-state-adjusted'!V7</f>
        <v>1.3457893658699625</v>
      </c>
      <c r="W4">
        <f>'BCDTRtSY-state-adjusted'!W7</f>
        <v>1.363466625252334</v>
      </c>
      <c r="X4">
        <f>'BCDTRtSY-state-adjusted'!X7</f>
        <v>1.3801001431138873</v>
      </c>
      <c r="Y4">
        <f>'BCDTRtSY-state-adjusted'!Y7</f>
        <v>1.3947676454906737</v>
      </c>
      <c r="Z4">
        <f>'BCDTRtSY-state-adjusted'!Z7</f>
        <v>1.4095687751130479</v>
      </c>
      <c r="AA4">
        <f>'BCDTRtSY-state-adjusted'!AA7</f>
        <v>1.4232940151482392</v>
      </c>
      <c r="AB4">
        <f>'BCDTRtSY-state-adjusted'!AB7</f>
        <v>1.4374561446233223</v>
      </c>
    </row>
    <row r="5" spans="1:28">
      <c r="A5" t="s">
        <v>121</v>
      </c>
      <c r="B5">
        <f>'BCDTRtSY-state-adjusted'!B8</f>
        <v>1</v>
      </c>
      <c r="C5">
        <f>'BCDTRtSY-state-adjusted'!C8</f>
        <v>1</v>
      </c>
      <c r="D5">
        <f>'BCDTRtSY-state-adjusted'!D8</f>
        <v>1.0641167090151213</v>
      </c>
      <c r="E5">
        <f>'BCDTRtSY-state-adjusted'!E8</f>
        <v>1.1119097701011003</v>
      </c>
      <c r="F5">
        <f>'BCDTRtSY-state-adjusted'!F8</f>
        <v>1.1482156661636396</v>
      </c>
      <c r="G5">
        <f>'BCDTRtSY-state-adjusted'!G8</f>
        <v>1.1797418883447908</v>
      </c>
      <c r="H5">
        <f>'BCDTRtSY-state-adjusted'!H8</f>
        <v>1.2066685572382436</v>
      </c>
      <c r="I5">
        <f>'BCDTRtSY-state-adjusted'!I8</f>
        <v>1.2266484782703759</v>
      </c>
      <c r="J5">
        <f>'BCDTRtSY-state-adjusted'!J8</f>
        <v>1.2443916979327883</v>
      </c>
      <c r="K5">
        <f>'BCDTRtSY-state-adjusted'!K8</f>
        <v>1.2629530834015144</v>
      </c>
      <c r="L5">
        <f>'BCDTRtSY-state-adjusted'!L8</f>
        <v>1.2764467422302834</v>
      </c>
      <c r="M5">
        <f>'BCDTRtSY-state-adjusted'!M8</f>
        <v>1.2898793114162583</v>
      </c>
      <c r="N5">
        <f>'BCDTRtSY-state-adjusted'!N8</f>
        <v>1.2995970015934279</v>
      </c>
      <c r="O5">
        <f>'BCDTRtSY-state-adjusted'!O8</f>
        <v>1.3101564888553434</v>
      </c>
      <c r="P5">
        <f>'BCDTRtSY-state-adjusted'!P8</f>
        <v>1.3194119506331849</v>
      </c>
      <c r="Q5">
        <f>'BCDTRtSY-state-adjusted'!Q8</f>
        <v>1.3259830303971725</v>
      </c>
      <c r="R5">
        <f>'BCDTRtSY-state-adjusted'!R8</f>
        <v>1.3328959221426842</v>
      </c>
      <c r="S5">
        <f>'BCDTRtSY-state-adjusted'!S8</f>
        <v>1.337895223375688</v>
      </c>
      <c r="T5">
        <f>'BCDTRtSY-state-adjusted'!T8</f>
        <v>1.3429061700685905</v>
      </c>
      <c r="U5">
        <f>'BCDTRtSY-state-adjusted'!U8</f>
        <v>1.3463779367438671</v>
      </c>
      <c r="V5">
        <f>'BCDTRtSY-state-adjusted'!V8</f>
        <v>1.3506369736655683</v>
      </c>
      <c r="W5">
        <f>'BCDTRtSY-state-adjusted'!W8</f>
        <v>1.3555254841436741</v>
      </c>
      <c r="X5">
        <f>'BCDTRtSY-state-adjusted'!X8</f>
        <v>1.3588078010814113</v>
      </c>
      <c r="Y5">
        <f>'BCDTRtSY-state-adjusted'!Y8</f>
        <v>1.3627872909709069</v>
      </c>
      <c r="Z5">
        <f>'BCDTRtSY-state-adjusted'!Z8</f>
        <v>1.3645081498118363</v>
      </c>
      <c r="AA5">
        <f>'BCDTRtSY-state-adjusted'!AA8</f>
        <v>1.3658223140367076</v>
      </c>
      <c r="AB5">
        <f>'BCDTRtSY-state-adjusted'!AB8</f>
        <v>1.3668366823104414</v>
      </c>
    </row>
    <row r="6" spans="1:28">
      <c r="A6" t="s">
        <v>122</v>
      </c>
      <c r="B6">
        <f>'BCDTRtSY-state-adjusted'!B9</f>
        <v>1</v>
      </c>
      <c r="C6">
        <f>'BCDTRtSY-state-adjusted'!C9</f>
        <v>1</v>
      </c>
      <c r="D6">
        <f>'BCDTRtSY-state-adjusted'!D9</f>
        <v>1.002326138267569</v>
      </c>
      <c r="E6">
        <f>'BCDTRtSY-state-adjusted'!E9</f>
        <v>0.99756555498378319</v>
      </c>
      <c r="F6">
        <f>'BCDTRtSY-state-adjusted'!F9</f>
        <v>0.98683222818129013</v>
      </c>
      <c r="G6">
        <f>'BCDTRtSY-state-adjusted'!G9</f>
        <v>0.97853021620647984</v>
      </c>
      <c r="H6">
        <f>'BCDTRtSY-state-adjusted'!H9</f>
        <v>0.97251160471924725</v>
      </c>
      <c r="I6">
        <f>'BCDTRtSY-state-adjusted'!I9</f>
        <v>0.96392199980969839</v>
      </c>
      <c r="J6">
        <f>'BCDTRtSY-state-adjusted'!J9</f>
        <v>0.95768827493622366</v>
      </c>
      <c r="K6">
        <f>'BCDTRtSY-state-adjusted'!K9</f>
        <v>0.95266527621101482</v>
      </c>
      <c r="L6">
        <f>'BCDTRtSY-state-adjusted'!L9</f>
        <v>0.94889138290926323</v>
      </c>
      <c r="M6">
        <f>'BCDTRtSY-state-adjusted'!M9</f>
        <v>0.94641672954381895</v>
      </c>
      <c r="N6">
        <f>'BCDTRtSY-state-adjusted'!N9</f>
        <v>0.94101207244745999</v>
      </c>
      <c r="O6">
        <f>'BCDTRtSY-state-adjusted'!O9</f>
        <v>0.93566328215071692</v>
      </c>
      <c r="P6">
        <f>'BCDTRtSY-state-adjusted'!P9</f>
        <v>0.93017104536823803</v>
      </c>
      <c r="Q6">
        <f>'BCDTRtSY-state-adjusted'!Q9</f>
        <v>0.92462806330006031</v>
      </c>
      <c r="R6">
        <f>'BCDTRtSY-state-adjusted'!R9</f>
        <v>0.91919505060777396</v>
      </c>
      <c r="S6">
        <f>'BCDTRtSY-state-adjusted'!S9</f>
        <v>0.91276767104992618</v>
      </c>
      <c r="T6">
        <f>'BCDTRtSY-state-adjusted'!T9</f>
        <v>0.90677706680480397</v>
      </c>
      <c r="U6">
        <f>'BCDTRtSY-state-adjusted'!U9</f>
        <v>0.90109478691430334</v>
      </c>
      <c r="V6">
        <f>'BCDTRtSY-state-adjusted'!V9</f>
        <v>0.89543179830826347</v>
      </c>
      <c r="W6">
        <f>'BCDTRtSY-state-adjusted'!W9</f>
        <v>0.88975615796521423</v>
      </c>
      <c r="X6">
        <f>'BCDTRtSY-state-adjusted'!X9</f>
        <v>0.88364429834003744</v>
      </c>
      <c r="Y6">
        <f>'BCDTRtSY-state-adjusted'!Y9</f>
        <v>0.87692358645219537</v>
      </c>
      <c r="Z6">
        <f>'BCDTRtSY-state-adjusted'!Z9</f>
        <v>0.8700890452590182</v>
      </c>
      <c r="AA6">
        <f>'BCDTRtSY-state-adjusted'!AA9</f>
        <v>0.86291511489236949</v>
      </c>
      <c r="AB6">
        <f>'BCDTRtSY-state-adjusted'!AB9</f>
        <v>0.85602751717707315</v>
      </c>
    </row>
    <row r="7" spans="1:28">
      <c r="A7" t="s">
        <v>123</v>
      </c>
      <c r="B7">
        <f>'BCDTRtSY-state-adjusted'!B10</f>
        <v>1</v>
      </c>
      <c r="C7">
        <f>'BCDTRtSY-state-adjusted'!C10</f>
        <v>1</v>
      </c>
      <c r="D7">
        <f>'BCDTRtSY-state-adjusted'!D10</f>
        <v>1.0062718351183197</v>
      </c>
      <c r="E7">
        <f>'BCDTRtSY-state-adjusted'!E10</f>
        <v>1.0147462758660093</v>
      </c>
      <c r="F7">
        <f>'BCDTRtSY-state-adjusted'!F10</f>
        <v>1.0202881252538345</v>
      </c>
      <c r="G7">
        <f>'BCDTRtSY-state-adjusted'!G10</f>
        <v>1.025627737818366</v>
      </c>
      <c r="H7">
        <f>'BCDTRtSY-state-adjusted'!H10</f>
        <v>1.0299396808744796</v>
      </c>
      <c r="I7">
        <f>'BCDTRtSY-state-adjusted'!I10</f>
        <v>1.0321073843060842</v>
      </c>
      <c r="J7">
        <f>'BCDTRtSY-state-adjusted'!J10</f>
        <v>1.0343253136970005</v>
      </c>
      <c r="K7">
        <f>'BCDTRtSY-state-adjusted'!K10</f>
        <v>1.0350124221476549</v>
      </c>
      <c r="L7">
        <f>'BCDTRtSY-state-adjusted'!L10</f>
        <v>1.0360590441085027</v>
      </c>
      <c r="M7">
        <f>'BCDTRtSY-state-adjusted'!M10</f>
        <v>1.0362046725527663</v>
      </c>
      <c r="N7">
        <f>'BCDTRtSY-state-adjusted'!N10</f>
        <v>1.0371556130306316</v>
      </c>
      <c r="O7">
        <f>'BCDTRtSY-state-adjusted'!O10</f>
        <v>1.0385570028420088</v>
      </c>
      <c r="P7">
        <f>'BCDTRtSY-state-adjusted'!P10</f>
        <v>1.0399318704181983</v>
      </c>
      <c r="Q7">
        <f>'BCDTRtSY-state-adjusted'!Q10</f>
        <v>1.0405924348147362</v>
      </c>
      <c r="R7">
        <f>'BCDTRtSY-state-adjusted'!R10</f>
        <v>1.0414843691679314</v>
      </c>
      <c r="S7">
        <f>'BCDTRtSY-state-adjusted'!S10</f>
        <v>1.0415034743024449</v>
      </c>
      <c r="T7">
        <f>'BCDTRtSY-state-adjusted'!T10</f>
        <v>1.0412607598307244</v>
      </c>
      <c r="U7">
        <f>'BCDTRtSY-state-adjusted'!U10</f>
        <v>1.0407908872465523</v>
      </c>
      <c r="V7">
        <f>'BCDTRtSY-state-adjusted'!V10</f>
        <v>1.0406554908721921</v>
      </c>
      <c r="W7">
        <f>'BCDTRtSY-state-adjusted'!W10</f>
        <v>1.0403922587853636</v>
      </c>
      <c r="X7">
        <f>'BCDTRtSY-state-adjusted'!X10</f>
        <v>1.0396759992355751</v>
      </c>
      <c r="Y7">
        <f>'BCDTRtSY-state-adjusted'!Y10</f>
        <v>1.0382442768282421</v>
      </c>
      <c r="Z7">
        <f>'BCDTRtSY-state-adjusted'!Z10</f>
        <v>1.036767449746445</v>
      </c>
      <c r="AA7">
        <f>'BCDTRtSY-state-adjusted'!AA10</f>
        <v>1.0351437181095109</v>
      </c>
      <c r="AB7">
        <f>'BCDTRtSY-state-adjusted'!AB10</f>
        <v>1.0339169606673368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0.99646578977039901</v>
      </c>
      <c r="E2">
        <f>'BCDTRtSY-state-adjusted'!E13</f>
        <v>0.99839364074050985</v>
      </c>
      <c r="F2">
        <f>'BCDTRtSY-state-adjusted'!F13</f>
        <v>0.99995156171264643</v>
      </c>
      <c r="G2">
        <f>'BCDTRtSY-state-adjusted'!G13</f>
        <v>1.0026820579617042</v>
      </c>
      <c r="H2">
        <f>'BCDTRtSY-state-adjusted'!H13</f>
        <v>1.0102141227636805</v>
      </c>
      <c r="I2">
        <f>'BCDTRtSY-state-adjusted'!I13</f>
        <v>1.0141402982364258</v>
      </c>
      <c r="J2">
        <f>'BCDTRtSY-state-adjusted'!J13</f>
        <v>1.0198767267922895</v>
      </c>
      <c r="K2">
        <f>'BCDTRtSY-state-adjusted'!K13</f>
        <v>1.0243201736353826</v>
      </c>
      <c r="L2">
        <f>'BCDTRtSY-state-adjusted'!L13</f>
        <v>1.030710721897752</v>
      </c>
      <c r="M2">
        <f>'BCDTRtSY-state-adjusted'!M13</f>
        <v>1.0378194927677258</v>
      </c>
      <c r="N2">
        <f>'BCDTRtSY-state-adjusted'!N13</f>
        <v>1.045277605726133</v>
      </c>
      <c r="O2">
        <f>'BCDTRtSY-state-adjusted'!O13</f>
        <v>1.0540125176490069</v>
      </c>
      <c r="P2">
        <f>'BCDTRtSY-state-adjusted'!P13</f>
        <v>1.0639934481834605</v>
      </c>
      <c r="Q2">
        <f>'BCDTRtSY-state-adjusted'!Q13</f>
        <v>1.0743506998523709</v>
      </c>
      <c r="R2">
        <f>'BCDTRtSY-state-adjusted'!R13</f>
        <v>1.0852326433963879</v>
      </c>
      <c r="S2">
        <f>'BCDTRtSY-state-adjusted'!S13</f>
        <v>1.0947957595077322</v>
      </c>
      <c r="T2">
        <f>'BCDTRtSY-state-adjusted'!T13</f>
        <v>1.1037425198201445</v>
      </c>
      <c r="U2">
        <f>'BCDTRtSY-state-adjusted'!U13</f>
        <v>1.110116920581889</v>
      </c>
      <c r="V2">
        <f>'BCDTRtSY-state-adjusted'!V13</f>
        <v>1.1162230310545396</v>
      </c>
      <c r="W2">
        <f>'BCDTRtSY-state-adjusted'!W13</f>
        <v>1.1236944438111602</v>
      </c>
      <c r="X2">
        <f>'BCDTRtSY-state-adjusted'!X13</f>
        <v>1.1316357139864099</v>
      </c>
      <c r="Y2">
        <f>'BCDTRtSY-state-adjusted'!Y13</f>
        <v>1.1402630406039096</v>
      </c>
      <c r="Z2">
        <f>'BCDTRtSY-state-adjusted'!Z13</f>
        <v>1.1476139391419522</v>
      </c>
      <c r="AA2">
        <f>'BCDTRtSY-state-adjusted'!AA13</f>
        <v>1.1557456517134352</v>
      </c>
      <c r="AB2">
        <f>'BCDTRtSY-state-adjusted'!AB13</f>
        <v>1.1631208049935755</v>
      </c>
    </row>
    <row r="3" spans="1:28">
      <c r="A3" t="s">
        <v>118</v>
      </c>
      <c r="B3">
        <f>'BCDTRtSY-state-adjusted'!B14</f>
        <v>1</v>
      </c>
      <c r="C3">
        <f>'BCDTRtSY-state-adjusted'!C14</f>
        <v>1</v>
      </c>
      <c r="D3">
        <f>'BCDTRtSY-state-adjusted'!D14</f>
        <v>1.0111155240788749</v>
      </c>
      <c r="E3">
        <f>'BCDTRtSY-state-adjusted'!E14</f>
        <v>1.026483990946967</v>
      </c>
      <c r="F3">
        <f>'BCDTRtSY-state-adjusted'!F14</f>
        <v>1.0410019995509538</v>
      </c>
      <c r="G3">
        <f>'BCDTRtSY-state-adjusted'!G14</f>
        <v>1.0529320622776837</v>
      </c>
      <c r="H3">
        <f>'BCDTRtSY-state-adjusted'!H14</f>
        <v>1.0672574043130301</v>
      </c>
      <c r="I3">
        <f>'BCDTRtSY-state-adjusted'!I14</f>
        <v>1.0747933196389667</v>
      </c>
      <c r="J3">
        <f>'BCDTRtSY-state-adjusted'!J14</f>
        <v>1.0832458040815922</v>
      </c>
      <c r="K3">
        <f>'BCDTRtSY-state-adjusted'!K14</f>
        <v>1.0894993894557046</v>
      </c>
      <c r="L3">
        <f>'BCDTRtSY-state-adjusted'!L14</f>
        <v>1.0970152330790679</v>
      </c>
      <c r="M3">
        <f>'BCDTRtSY-state-adjusted'!M14</f>
        <v>1.1043953126237831</v>
      </c>
      <c r="N3">
        <f>'BCDTRtSY-state-adjusted'!N14</f>
        <v>1.110971079249762</v>
      </c>
      <c r="O3">
        <f>'BCDTRtSY-state-adjusted'!O14</f>
        <v>1.1168470558203496</v>
      </c>
      <c r="P3">
        <f>'BCDTRtSY-state-adjusted'!P14</f>
        <v>1.1217091904980616</v>
      </c>
      <c r="Q3">
        <f>'BCDTRtSY-state-adjusted'!Q14</f>
        <v>1.1260015223132509</v>
      </c>
      <c r="R3">
        <f>'BCDTRtSY-state-adjusted'!R14</f>
        <v>1.1304745652930479</v>
      </c>
      <c r="S3">
        <f>'BCDTRtSY-state-adjusted'!S14</f>
        <v>1.1343438423568093</v>
      </c>
      <c r="T3">
        <f>'BCDTRtSY-state-adjusted'!T14</f>
        <v>1.1376785591738146</v>
      </c>
      <c r="U3">
        <f>'BCDTRtSY-state-adjusted'!U14</f>
        <v>1.1399913911341486</v>
      </c>
      <c r="V3">
        <f>'BCDTRtSY-state-adjusted'!V14</f>
        <v>1.1426199814054148</v>
      </c>
      <c r="W3">
        <f>'BCDTRtSY-state-adjusted'!W14</f>
        <v>1.1471252667396792</v>
      </c>
      <c r="X3">
        <f>'BCDTRtSY-state-adjusted'!X14</f>
        <v>1.1518384549795857</v>
      </c>
      <c r="Y3">
        <f>'BCDTRtSY-state-adjusted'!Y14</f>
        <v>1.1564533947531177</v>
      </c>
      <c r="Z3">
        <f>'BCDTRtSY-state-adjusted'!Z14</f>
        <v>1.1589391521169066</v>
      </c>
      <c r="AA3">
        <f>'BCDTRtSY-state-adjusted'!AA14</f>
        <v>1.1613473193679724</v>
      </c>
      <c r="AB3">
        <f>'BCDTRtSY-state-adjusted'!AB14</f>
        <v>1.1631902980418076</v>
      </c>
    </row>
    <row r="4" spans="1:28">
      <c r="A4" t="s">
        <v>116</v>
      </c>
      <c r="B4">
        <f>'BCDTRtSY-state-adjusted'!B15</f>
        <v>1</v>
      </c>
      <c r="C4">
        <f>'BCDTRtSY-state-adjusted'!C15</f>
        <v>1</v>
      </c>
      <c r="D4">
        <f>'BCDTRtSY-state-adjusted'!D15</f>
        <v>1.0271913347817099</v>
      </c>
      <c r="E4">
        <f>'BCDTRtSY-state-adjusted'!E15</f>
        <v>1.0466350472680139</v>
      </c>
      <c r="F4">
        <f>'BCDTRtSY-state-adjusted'!F15</f>
        <v>1.0596255345251748</v>
      </c>
      <c r="G4">
        <f>'BCDTRtSY-state-adjusted'!G15</f>
        <v>1.0763356051864921</v>
      </c>
      <c r="H4">
        <f>'BCDTRtSY-state-adjusted'!H15</f>
        <v>1.096053450233077</v>
      </c>
      <c r="I4">
        <f>'BCDTRtSY-state-adjusted'!I15</f>
        <v>1.1129788289475748</v>
      </c>
      <c r="J4">
        <f>'BCDTRtSY-state-adjusted'!J15</f>
        <v>1.133003630878012</v>
      </c>
      <c r="K4">
        <f>'BCDTRtSY-state-adjusted'!K15</f>
        <v>1.154474173207404</v>
      </c>
      <c r="L4">
        <f>'BCDTRtSY-state-adjusted'!L15</f>
        <v>1.1776956719167537</v>
      </c>
      <c r="M4">
        <f>'BCDTRtSY-state-adjusted'!M15</f>
        <v>1.2027813236835192</v>
      </c>
      <c r="N4">
        <f>'BCDTRtSY-state-adjusted'!N15</f>
        <v>1.2233427399597798</v>
      </c>
      <c r="O4">
        <f>'BCDTRtSY-state-adjusted'!O15</f>
        <v>1.2440712881842473</v>
      </c>
      <c r="P4">
        <f>'BCDTRtSY-state-adjusted'!P15</f>
        <v>1.2647422610473653</v>
      </c>
      <c r="Q4">
        <f>'BCDTRtSY-state-adjusted'!Q15</f>
        <v>1.2848422837324638</v>
      </c>
      <c r="R4">
        <f>'BCDTRtSY-state-adjusted'!R15</f>
        <v>1.3053614823843518</v>
      </c>
      <c r="S4">
        <f>'BCDTRtSY-state-adjusted'!S15</f>
        <v>1.3246170838584892</v>
      </c>
      <c r="T4">
        <f>'BCDTRtSY-state-adjusted'!T15</f>
        <v>1.3446812592088979</v>
      </c>
      <c r="U4">
        <f>'BCDTRtSY-state-adjusted'!U15</f>
        <v>1.3657213770182597</v>
      </c>
      <c r="V4">
        <f>'BCDTRtSY-state-adjusted'!V15</f>
        <v>1.3867843380660667</v>
      </c>
      <c r="W4">
        <f>'BCDTRtSY-state-adjusted'!W15</f>
        <v>1.4080123088770908</v>
      </c>
      <c r="X4">
        <f>'BCDTRtSY-state-adjusted'!X15</f>
        <v>1.4286297440181566</v>
      </c>
      <c r="Y4">
        <f>'BCDTRtSY-state-adjusted'!Y15</f>
        <v>1.4479841158325388</v>
      </c>
      <c r="Z4">
        <f>'BCDTRtSY-state-adjusted'!Z15</f>
        <v>1.4675468053394962</v>
      </c>
      <c r="AA4">
        <f>'BCDTRtSY-state-adjusted'!AA15</f>
        <v>1.4864716851356461</v>
      </c>
      <c r="AB4">
        <f>'BCDTRtSY-state-adjusted'!AB15</f>
        <v>1.5058383490464118</v>
      </c>
    </row>
    <row r="5" spans="1:28">
      <c r="A5" t="s">
        <v>121</v>
      </c>
      <c r="B5">
        <f>'BCDTRtSY-state-adjusted'!B16</f>
        <v>1</v>
      </c>
      <c r="C5">
        <f>'BCDTRtSY-state-adjusted'!C16</f>
        <v>1</v>
      </c>
      <c r="D5">
        <f>'BCDTRtSY-state-adjusted'!D16</f>
        <v>0.97761457414391972</v>
      </c>
      <c r="E5">
        <f>'BCDTRtSY-state-adjusted'!E16</f>
        <v>1.009473766629118</v>
      </c>
      <c r="F5">
        <f>'BCDTRtSY-state-adjusted'!F16</f>
        <v>0.98910146553665146</v>
      </c>
      <c r="G5">
        <f>'BCDTRtSY-state-adjusted'!G16</f>
        <v>0.98161941240994599</v>
      </c>
      <c r="H5">
        <f>'BCDTRtSY-state-adjusted'!H16</f>
        <v>0.98848175634467983</v>
      </c>
      <c r="I5">
        <f>'BCDTRtSY-state-adjusted'!I16</f>
        <v>0.96136408821961983</v>
      </c>
      <c r="J5">
        <f>'BCDTRtSY-state-adjusted'!J16</f>
        <v>0.96363636245104556</v>
      </c>
      <c r="K5">
        <f>'BCDTRtSY-state-adjusted'!K16</f>
        <v>0.96605548869693392</v>
      </c>
      <c r="L5">
        <f>'BCDTRtSY-state-adjusted'!L16</f>
        <v>0.96157311610351559</v>
      </c>
      <c r="M5">
        <f>'BCDTRtSY-state-adjusted'!M16</f>
        <v>0.96297916904223346</v>
      </c>
      <c r="N5">
        <f>'BCDTRtSY-state-adjusted'!N16</f>
        <v>0.9635333225014866</v>
      </c>
      <c r="O5">
        <f>'BCDTRtSY-state-adjusted'!O16</f>
        <v>0.96545804989755424</v>
      </c>
      <c r="P5">
        <f>'BCDTRtSY-state-adjusted'!P16</f>
        <v>0.9641378129179855</v>
      </c>
      <c r="Q5">
        <f>'BCDTRtSY-state-adjusted'!Q16</f>
        <v>0.96437701745220217</v>
      </c>
      <c r="R5">
        <f>'BCDTRtSY-state-adjusted'!R16</f>
        <v>0.96364004888702004</v>
      </c>
      <c r="S5">
        <f>'BCDTRtSY-state-adjusted'!S16</f>
        <v>0.96079201149367466</v>
      </c>
      <c r="T5">
        <f>'BCDTRtSY-state-adjusted'!T16</f>
        <v>0.95586462008986872</v>
      </c>
      <c r="U5">
        <f>'BCDTRtSY-state-adjusted'!U16</f>
        <v>0.95158219224093388</v>
      </c>
      <c r="V5">
        <f>'BCDTRtSY-state-adjusted'!V16</f>
        <v>0.94974359516574103</v>
      </c>
      <c r="W5">
        <f>'BCDTRtSY-state-adjusted'!W16</f>
        <v>0.94732796251412177</v>
      </c>
      <c r="X5">
        <f>'BCDTRtSY-state-adjusted'!X16</f>
        <v>0.94738639014450488</v>
      </c>
      <c r="Y5">
        <f>'BCDTRtSY-state-adjusted'!Y16</f>
        <v>0.95104074645974324</v>
      </c>
      <c r="Z5">
        <f>'BCDTRtSY-state-adjusted'!Z16</f>
        <v>0.95212941070760482</v>
      </c>
      <c r="AA5">
        <f>'BCDTRtSY-state-adjusted'!AA16</f>
        <v>0.9475063936268292</v>
      </c>
      <c r="AB5">
        <f>'BCDTRtSY-state-adjusted'!AB16</f>
        <v>0.94354848722410845</v>
      </c>
    </row>
    <row r="6" spans="1:28">
      <c r="A6" t="s">
        <v>122</v>
      </c>
      <c r="B6">
        <f>'BCDTRtSY-state-adjusted'!B17</f>
        <v>1</v>
      </c>
      <c r="C6">
        <f>'BCDTRtSY-state-adjusted'!C17</f>
        <v>1</v>
      </c>
      <c r="D6">
        <f>'BCDTRtSY-state-adjusted'!D17</f>
        <v>0.99249114690703166</v>
      </c>
      <c r="E6">
        <f>'BCDTRtSY-state-adjusted'!E17</f>
        <v>1.0119921342284226</v>
      </c>
      <c r="F6">
        <f>'BCDTRtSY-state-adjusted'!F17</f>
        <v>1.0335311517437993</v>
      </c>
      <c r="G6">
        <f>'BCDTRtSY-state-adjusted'!G17</f>
        <v>1.0517093840846605</v>
      </c>
      <c r="H6">
        <f>'BCDTRtSY-state-adjusted'!H17</f>
        <v>1.0708232488550835</v>
      </c>
      <c r="I6">
        <f>'BCDTRtSY-state-adjusted'!I17</f>
        <v>1.0861351930941301</v>
      </c>
      <c r="J6">
        <f>'BCDTRtSY-state-adjusted'!J17</f>
        <v>1.1034522130239874</v>
      </c>
      <c r="K6">
        <f>'BCDTRtSY-state-adjusted'!K17</f>
        <v>1.1210121937748976</v>
      </c>
      <c r="L6">
        <f>'BCDTRtSY-state-adjusted'!L17</f>
        <v>1.1392395679402461</v>
      </c>
      <c r="M6">
        <f>'BCDTRtSY-state-adjusted'!M17</f>
        <v>1.1584199363797956</v>
      </c>
      <c r="N6">
        <f>'BCDTRtSY-state-adjusted'!N17</f>
        <v>1.1735474932648216</v>
      </c>
      <c r="O6">
        <f>'BCDTRtSY-state-adjusted'!O17</f>
        <v>1.1853029621144553</v>
      </c>
      <c r="P6">
        <f>'BCDTRtSY-state-adjusted'!P17</f>
        <v>1.197015481998055</v>
      </c>
      <c r="Q6">
        <f>'BCDTRtSY-state-adjusted'!Q17</f>
        <v>1.207520315394669</v>
      </c>
      <c r="R6">
        <f>'BCDTRtSY-state-adjusted'!R17</f>
        <v>1.2180761136835609</v>
      </c>
      <c r="S6">
        <f>'BCDTRtSY-state-adjusted'!S17</f>
        <v>1.2278412096952713</v>
      </c>
      <c r="T6">
        <f>'BCDTRtSY-state-adjusted'!T17</f>
        <v>1.2386240741161407</v>
      </c>
      <c r="U6">
        <f>'BCDTRtSY-state-adjusted'!U17</f>
        <v>1.2489513727532242</v>
      </c>
      <c r="V6">
        <f>'BCDTRtSY-state-adjusted'!V17</f>
        <v>1.259093761835923</v>
      </c>
      <c r="W6">
        <f>'BCDTRtSY-state-adjusted'!W17</f>
        <v>1.2705317987559801</v>
      </c>
      <c r="X6">
        <f>'BCDTRtSY-state-adjusted'!X17</f>
        <v>1.2820822682118522</v>
      </c>
      <c r="Y6">
        <f>'BCDTRtSY-state-adjusted'!Y17</f>
        <v>1.2937791949571735</v>
      </c>
      <c r="Z6">
        <f>'BCDTRtSY-state-adjusted'!Z17</f>
        <v>1.3046786724069215</v>
      </c>
      <c r="AA6">
        <f>'BCDTRtSY-state-adjusted'!AA17</f>
        <v>1.3152369015323599</v>
      </c>
      <c r="AB6">
        <f>'BCDTRtSY-state-adjusted'!AB17</f>
        <v>1.3271646085138777</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2026-08-14T21:48:47Z</dcterms:modified>
</cp:coreProperties>
</file>