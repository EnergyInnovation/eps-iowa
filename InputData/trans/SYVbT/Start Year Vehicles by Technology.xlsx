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trans\SYVbT\"/>
    </mc:Choice>
  </mc:AlternateContent>
  <xr:revisionPtr revIDLastSave="0" documentId="8_{8CBA6AB3-A502-4FA4-8268-4E73A254E120}"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<sst xmlns="http://schemas.openxmlformats.org/spreadsheetml/2006/main" count="16048" uniqueCount="5006">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</sst>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170</v>
      </c>
      <c r="C1" s="163">
        <v>45310</v>
      </c>
    </row>
    <row r="2" spans="1:7">
      <c r="B2" t="str">
        <f>INDEX(F:F,MATCH(B1,E:E,0))</f>
        <v>IA</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23</v>
      </c>
      <c r="C2">
        <f>ROUND(INDEX('SSYVbT-freight-LDV'!$B$2:$H$51,MATCH(About!$B$2,'SSYVbT-freight-LDV'!$A$2:$A$51,0),MATCH(C$1,'SSYVbT-freight-LDV'!$B$1:$H$1,0)),0)</f>
        <v>227</v>
      </c>
      <c r="D2">
        <f>ROUND(INDEX('SSYVbT-freight-LDV'!$B$2:$H$51,MATCH(About!$B$2,'SSYVbT-freight-LDV'!$A$2:$A$51,0),MATCH(D$1,'SSYVbT-freight-LDV'!$B$1:$H$1,0)),0)</f>
        <v>186014</v>
      </c>
      <c r="E2">
        <f>ROUND(INDEX('SSYVbT-freight-LDV'!$B$2:$H$51,MATCH(About!$B$2,'SSYVbT-freight-LDV'!$A$2:$A$51,0),MATCH(E$1,'SSYVbT-freight-LDV'!$B$1:$H$1,0)),0)</f>
        <v>151826</v>
      </c>
      <c r="F2">
        <f>ROUND(INDEX('SSYVbT-freight-LDV'!$B$2:$H$51,MATCH(About!$B$2,'SSYVbT-freight-LDV'!$A$2:$A$51,0),MATCH(F$1,'SSYVbT-freight-LDV'!$B$1:$H$1,0)),0)</f>
        <v>43</v>
      </c>
      <c r="G2">
        <f>ROUND(INDEX('SSYVbT-freight-LDV'!$B$2:$H$51,MATCH(About!$B$2,'SSYVbT-freight-LDV'!$A$2:$A$51,0),MATCH(G$1,'SSYVbT-freight-LDV'!$B$1:$H$1,0)),0)</f>
        <v>83</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666</v>
      </c>
      <c r="D3">
        <f>ROUND(INDEX('SSYVbT-freight-HDV'!$B$2:$H$51,MATCH(About!$B$2,'SSYVbT-freight-HDV'!$A$2:$A$51,0),MATCH(D$1,'SSYVbT-freight-HDV'!$B$1:$H$1,0)),0)</f>
        <v>715</v>
      </c>
      <c r="E3">
        <f>ROUND(INDEX('SSYVbT-freight-HDV'!$B$2:$H$51,MATCH(About!$B$2,'SSYVbT-freight-HDV'!$A$2:$A$51,0),MATCH(E$1,'SSYVbT-freight-HDV'!$B$1:$H$1,0)),0)</f>
        <v>73936</v>
      </c>
      <c r="F3">
        <f>ROUND(INDEX('SSYVbT-freight-HDV'!$B$2:$H$51,MATCH(About!$B$2,'SSYVbT-freight-HDV'!$A$2:$A$51,0),MATCH(F$1,'SSYVbT-freight-HDV'!$B$1:$H$1,0)),0)</f>
        <v>8</v>
      </c>
      <c r="G3">
        <f>ROUND(INDEX('SSYVbT-freight-HDV'!$B$2:$H$51,MATCH(About!$B$2,'SSYVbT-freight-HDV'!$A$2:$A$51,0),MATCH(G$1,'SSYVbT-freight-HDV'!$B$1:$H$1,0)),0)</f>
        <v>56</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345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9729</v>
      </c>
      <c r="C2">
        <f>ROUND(INDEX('SSYVbT-passenger-LDV'!$B$2:$H$51,MATCH(About!$B$2,'SSYVbT-passenger-LDV'!$A$2:$A$51,0),MATCH(C$1,'SSYVbT-passenger-LDV'!$B$1:$H$1,0)),0)</f>
        <v>1084</v>
      </c>
      <c r="D2">
        <f>ROUND(INDEX('SSYVbT-passenger-LDV'!$B$2:$H$51,MATCH(About!$B$2,'SSYVbT-passenger-LDV'!$A$2:$A$51,0),MATCH(D$1,'SSYVbT-passenger-LDV'!$B$1:$H$1,0)),0)</f>
        <v>2818823</v>
      </c>
      <c r="E2">
        <f>ROUND(INDEX('SSYVbT-passenger-LDV'!$B$2:$H$51,MATCH(About!$B$2,'SSYVbT-passenger-LDV'!$A$2:$A$51,0),MATCH(E$1,'SSYVbT-passenger-LDV'!$B$1:$H$1,0)),0)</f>
        <v>12007</v>
      </c>
      <c r="F2">
        <f>ROUND(INDEX('SSYVbT-passenger-LDV'!$B$2:$H$51,MATCH(About!$B$2,'SSYVbT-passenger-LDV'!$A$2:$A$51,0),MATCH(F$1,'SSYVbT-passenger-LDV'!$B$1:$H$1,0)),0)</f>
        <v>6741</v>
      </c>
      <c r="G2">
        <f>ROUND(INDEX('SSYVbT-passenger-LDV'!$B$2:$H$51,MATCH(About!$B$2,'SSYVbT-passenger-LDV'!$A$2:$A$51,0),MATCH(G$1,'SSYVbT-passenger-LDV'!$B$1:$H$1,0)),0)</f>
        <v>908</v>
      </c>
      <c r="H2">
        <f>ROUND(INDEX('SSYVbT-passenger-LDV'!$B$2:$H$51,MATCH(About!$B$2,'SSYVbT-passenger-LDV'!$A$2:$A$51,0),MATCH(H$1,'SSYVbT-passenger-LDV'!$B$1:$H$1,0)),0)</f>
        <v>85</v>
      </c>
    </row>
    <row r="3" spans="1:8">
      <c r="A3" t="s">
        <v>5</v>
      </c>
      <c r="B3">
        <f>ROUND(INDEX('SSYVbT-passenger-HDV'!$B$2:$H$51,MATCH(About!$B$2,'SSYVbT-passenger-HDV'!$A$2:$A$51,0),MATCH(B$1,'SSYVbT-passenger-HDV'!$B$1:$H$1,0)),0)</f>
        <v>3</v>
      </c>
      <c r="C3">
        <f>ROUND(INDEX('SSYVbT-passenger-HDV'!$B$2:$H$51,MATCH(About!$B$2,'SSYVbT-passenger-HDV'!$A$2:$A$51,0),MATCH(C$1,'SSYVbT-passenger-HDV'!$B$1:$H$1,0)),0)</f>
        <v>1295</v>
      </c>
      <c r="D3">
        <f>ROUND(INDEX('SSYVbT-passenger-HDV'!$B$2:$H$51,MATCH(About!$B$2,'SSYVbT-passenger-HDV'!$A$2:$A$51,0),MATCH(D$1,'SSYVbT-passenger-HDV'!$B$1:$H$1,0)),0)</f>
        <v>912</v>
      </c>
      <c r="E3">
        <f>ROUND(INDEX('SSYVbT-passenger-HDV'!$B$2:$H$51,MATCH(About!$B$2,'SSYVbT-passenger-HDV'!$A$2:$A$51,0),MATCH(E$1,'SSYVbT-passenger-HDV'!$B$1:$H$1,0)),0)</f>
        <v>6901</v>
      </c>
      <c r="F3">
        <f>ROUND(INDEX('SSYVbT-passenger-HDV'!$B$2:$H$51,MATCH(About!$B$2,'SSYVbT-passenger-HDV'!$A$2:$A$51,0),MATCH(F$1,'SSYVbT-passenger-HDV'!$B$1:$H$1,0)),0)</f>
        <v>0</v>
      </c>
      <c r="G3">
        <f>ROUND(INDEX('SSYVbT-passenger-HDV'!$B$2:$H$51,MATCH(About!$B$2,'SSYVbT-passenger-HDV'!$A$2:$A$51,0),MATCH(G$1,'SSYVbT-passenger-HDV'!$B$1:$H$1,0)),0)</f>
        <v>66</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152451</v>
      </c>
      <c r="E6">
        <f>ROUND(INDEX('SSYVbT-passenger-ships'!$B$2:$H$51,MATCH(About!$B$2,'SSYVbT-passenger-ships'!$A$2:$A$51,0),MATCH(E$1,'SSYVbT-passenger-ships'!$B$1:$H$1,0)),0)</f>
        <v>35951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117984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2024-01-19T18:15:31Z</dcterms:modified>
</cp:coreProperties>
</file>